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saaf Mashraqi Press printing\"/>
    </mc:Choice>
  </mc:AlternateContent>
  <bookViews>
    <workbookView xWindow="0" yWindow="0" windowWidth="16457" windowHeight="5314"/>
  </bookViews>
  <sheets>
    <sheet name="براورد عمومی" sheetId="1" r:id="rId1"/>
    <sheet name="براورد خاص کاغذ" sheetId="6" r:id="rId2"/>
    <sheet name="د کاغذ په اړه معلومات " sheetId="2" r:id="rId3"/>
    <sheet name="د کاغذ مصرف یاداشت " sheetId="3" r:id="rId4"/>
    <sheet name="خرڅ شوی کاغذ" sheetId="4" r:id="rId5"/>
    <sheet name="د نوی ارډر لپاره 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1" l="1"/>
  <c r="Q5" i="1"/>
  <c r="F5" i="1"/>
  <c r="H11" i="6"/>
  <c r="F11" i="6"/>
  <c r="P7" i="6" l="1"/>
  <c r="Q7" i="6" s="1"/>
  <c r="M7" i="6"/>
  <c r="O7" i="6"/>
  <c r="L7" i="6"/>
  <c r="F7" i="6"/>
  <c r="I7" i="6" s="1"/>
  <c r="J7" i="6" l="1"/>
  <c r="H7" i="6"/>
  <c r="Q14" i="1"/>
  <c r="P14" i="1"/>
  <c r="F14" i="1"/>
  <c r="I14" i="1" s="1"/>
  <c r="H14" i="1" s="1"/>
  <c r="J14" i="1" l="1"/>
  <c r="G25" i="2"/>
  <c r="I11" i="6"/>
  <c r="L11" i="6"/>
  <c r="F10" i="6"/>
  <c r="I10" i="6" s="1"/>
  <c r="H10" i="6" s="1"/>
  <c r="L10" i="6"/>
  <c r="F9" i="6"/>
  <c r="I9" i="6" s="1"/>
  <c r="H9" i="6" s="1"/>
  <c r="L9" i="6"/>
  <c r="L8" i="6"/>
  <c r="F8" i="6"/>
  <c r="I8" i="6" s="1"/>
  <c r="L6" i="6"/>
  <c r="F6" i="6"/>
  <c r="I6" i="6" s="1"/>
  <c r="L5" i="6"/>
  <c r="F5" i="6"/>
  <c r="I5" i="6" s="1"/>
  <c r="H5" i="6" s="1"/>
  <c r="L4" i="6"/>
  <c r="F4" i="6"/>
  <c r="I4" i="6" s="1"/>
  <c r="L3" i="6"/>
  <c r="F3" i="6"/>
  <c r="I3" i="6" s="1"/>
  <c r="G32" i="2"/>
  <c r="J11" i="6" l="1"/>
  <c r="M10" i="6"/>
  <c r="O10" i="6"/>
  <c r="P10" i="6" s="1"/>
  <c r="Q10" i="6" s="1"/>
  <c r="J10" i="6"/>
  <c r="O9" i="6"/>
  <c r="P9" i="6" s="1"/>
  <c r="Q9" i="6" s="1"/>
  <c r="M9" i="6"/>
  <c r="J9" i="6"/>
  <c r="H3" i="6"/>
  <c r="O3" i="6" s="1"/>
  <c r="P3" i="6" s="1"/>
  <c r="Q3" i="6" s="1"/>
  <c r="J3" i="6"/>
  <c r="H4" i="6"/>
  <c r="M4" i="6" s="1"/>
  <c r="J4" i="6"/>
  <c r="J6" i="6"/>
  <c r="H6" i="6"/>
  <c r="J8" i="6"/>
  <c r="H8" i="6"/>
  <c r="M5" i="6"/>
  <c r="O5" i="6"/>
  <c r="P5" i="6" s="1"/>
  <c r="Q5" i="6" s="1"/>
  <c r="J5" i="6"/>
  <c r="J30" i="2"/>
  <c r="O11" i="6" l="1"/>
  <c r="P11" i="6" s="1"/>
  <c r="Q11" i="6" s="1"/>
  <c r="M11" i="6"/>
  <c r="O4" i="6"/>
  <c r="P4" i="6" s="1"/>
  <c r="Q4" i="6" s="1"/>
  <c r="M3" i="6"/>
  <c r="M8" i="6"/>
  <c r="O8" i="6"/>
  <c r="P8" i="6" s="1"/>
  <c r="Q8" i="6" s="1"/>
  <c r="O6" i="6"/>
  <c r="P6" i="6" s="1"/>
  <c r="Q6" i="6" s="1"/>
  <c r="M6" i="6"/>
  <c r="G29" i="2"/>
  <c r="G28" i="2"/>
  <c r="L14" i="1"/>
  <c r="M14" i="1" s="1"/>
  <c r="O14" i="1" l="1"/>
  <c r="O11" i="1" l="1"/>
  <c r="P11" i="1" s="1"/>
  <c r="Q11" i="1" s="1"/>
  <c r="L13" i="1"/>
  <c r="L12" i="1"/>
  <c r="L11" i="1"/>
  <c r="M11" i="1" s="1"/>
  <c r="J11" i="1"/>
  <c r="H11" i="1"/>
  <c r="I11" i="1"/>
  <c r="F11" i="1"/>
  <c r="F12" i="1"/>
  <c r="I12" i="1" s="1"/>
  <c r="F13" i="1"/>
  <c r="I13" i="1" s="1"/>
  <c r="H13" i="1" s="1"/>
  <c r="O7" i="1"/>
  <c r="M7" i="1"/>
  <c r="L8" i="1"/>
  <c r="L9" i="1"/>
  <c r="L10" i="1"/>
  <c r="J7" i="1"/>
  <c r="I8" i="1"/>
  <c r="J8" i="1" s="1"/>
  <c r="H7" i="1"/>
  <c r="F8" i="1"/>
  <c r="F9" i="1"/>
  <c r="I9" i="1" s="1"/>
  <c r="F10" i="1"/>
  <c r="I10" i="1" s="1"/>
  <c r="J10" i="1" s="1"/>
  <c r="L6" i="1"/>
  <c r="L7" i="1"/>
  <c r="L5" i="1"/>
  <c r="F6" i="1"/>
  <c r="I6" i="1" s="1"/>
  <c r="J6" i="1" s="1"/>
  <c r="F7" i="1"/>
  <c r="I7" i="1" s="1"/>
  <c r="I5" i="1"/>
  <c r="J12" i="1" l="1"/>
  <c r="H12" i="1"/>
  <c r="O12" i="1" s="1"/>
  <c r="P12" i="1" s="1"/>
  <c r="Q12" i="1" s="1"/>
  <c r="M12" i="1"/>
  <c r="J13" i="1"/>
  <c r="O13" i="1"/>
  <c r="P13" i="1" s="1"/>
  <c r="Q13" i="1" s="1"/>
  <c r="M13" i="1"/>
  <c r="H10" i="1"/>
  <c r="H9" i="1"/>
  <c r="J9" i="1"/>
  <c r="H8" i="1"/>
  <c r="P7" i="1"/>
  <c r="Q7" i="1" s="1"/>
  <c r="H5" i="1"/>
  <c r="J5" i="1"/>
  <c r="H6" i="1"/>
  <c r="O10" i="1" l="1"/>
  <c r="P10" i="1" s="1"/>
  <c r="Q10" i="1" s="1"/>
  <c r="M10" i="1"/>
  <c r="O9" i="1"/>
  <c r="P9" i="1" s="1"/>
  <c r="Q9" i="1" s="1"/>
  <c r="M9" i="1"/>
  <c r="M8" i="1"/>
  <c r="O8" i="1"/>
  <c r="P8" i="1" s="1"/>
  <c r="Q8" i="1" s="1"/>
  <c r="O6" i="1"/>
  <c r="P6" i="1" s="1"/>
  <c r="Q6" i="1" s="1"/>
  <c r="M6" i="1"/>
  <c r="O5" i="1"/>
  <c r="M5" i="1"/>
</calcChain>
</file>

<file path=xl/sharedStrings.xml><?xml version="1.0" encoding="utf-8"?>
<sst xmlns="http://schemas.openxmlformats.org/spreadsheetml/2006/main" count="421" uniqueCount="172">
  <si>
    <t xml:space="preserve">د بلیچ کارټ براورد(اندازه کول )او قیمت ګذاری </t>
  </si>
  <si>
    <t>Size(Cm)</t>
  </si>
  <si>
    <t>Size(mm)</t>
  </si>
  <si>
    <t>gram</t>
  </si>
  <si>
    <t xml:space="preserve">sheet wight </t>
  </si>
  <si>
    <t>packet Wight</t>
  </si>
  <si>
    <t>32*26</t>
  </si>
  <si>
    <t>farmul</t>
  </si>
  <si>
    <t>23*36</t>
  </si>
  <si>
    <t>584*915</t>
  </si>
  <si>
    <t>813*660</t>
  </si>
  <si>
    <t>weight(ton)</t>
  </si>
  <si>
    <t>20*32</t>
  </si>
  <si>
    <t>508*813</t>
  </si>
  <si>
    <t xml:space="preserve">اول موټر کاغذ </t>
  </si>
  <si>
    <t>دوهم موټر کاغذ</t>
  </si>
  <si>
    <t xml:space="preserve">دریم موټر کاغذ </t>
  </si>
  <si>
    <t xml:space="preserve">څلورم موټر کاغذ </t>
  </si>
  <si>
    <t xml:space="preserve">پنځم موټر کاغذ </t>
  </si>
  <si>
    <t>تاریخ</t>
  </si>
  <si>
    <t>۲۴.۱۲.۱۴۰۴</t>
  </si>
  <si>
    <t>۲۸.۱۲.۱۴۰۴</t>
  </si>
  <si>
    <t xml:space="preserve">سایز سانتی متر </t>
  </si>
  <si>
    <t>ګرام</t>
  </si>
  <si>
    <t xml:space="preserve">سایز  ملی متر </t>
  </si>
  <si>
    <t xml:space="preserve">د اډی وزن </t>
  </si>
  <si>
    <t xml:space="preserve">تعداد د اډی </t>
  </si>
  <si>
    <t xml:space="preserve">ټن </t>
  </si>
  <si>
    <t>300 gr</t>
  </si>
  <si>
    <t xml:space="preserve">369 kg </t>
  </si>
  <si>
    <t>26*32</t>
  </si>
  <si>
    <t>660*813</t>
  </si>
  <si>
    <t>250gr</t>
  </si>
  <si>
    <t>Ton</t>
  </si>
  <si>
    <t xml:space="preserve">270 gr </t>
  </si>
  <si>
    <t xml:space="preserve">250 gr </t>
  </si>
  <si>
    <t>ټوله مجموعه په ټن باندی</t>
  </si>
  <si>
    <t>pk P</t>
  </si>
  <si>
    <t>Pkt P</t>
  </si>
  <si>
    <t>Sht  P</t>
  </si>
  <si>
    <t>TEN P</t>
  </si>
  <si>
    <t>PK TEN</t>
  </si>
  <si>
    <t>PK IN PKT</t>
  </si>
  <si>
    <t>Pk in sht</t>
  </si>
  <si>
    <t>pakt in 1ten</t>
  </si>
  <si>
    <t xml:space="preserve">کاغذ اندازه په پاکټونو </t>
  </si>
  <si>
    <t>پاکټه</t>
  </si>
  <si>
    <t xml:space="preserve">کال </t>
  </si>
  <si>
    <t xml:space="preserve">میاشت </t>
  </si>
  <si>
    <t xml:space="preserve">هفته </t>
  </si>
  <si>
    <t xml:space="preserve">سایز </t>
  </si>
  <si>
    <t xml:space="preserve">ګرام </t>
  </si>
  <si>
    <t>شمیره</t>
  </si>
  <si>
    <t xml:space="preserve">300gr </t>
  </si>
  <si>
    <t>270gr</t>
  </si>
  <si>
    <t xml:space="preserve">250gr </t>
  </si>
  <si>
    <t>270 gr</t>
  </si>
  <si>
    <t xml:space="preserve">د پسټنګ شوی قطیو شمیره </t>
  </si>
  <si>
    <t>120ml</t>
  </si>
  <si>
    <t>200ml</t>
  </si>
  <si>
    <t>90 ml</t>
  </si>
  <si>
    <t xml:space="preserve">60 ml </t>
  </si>
  <si>
    <t>د هفتی،میاشتی , کلنی کاغذ مصارف او پسټنګ</t>
  </si>
  <si>
    <t>مجموعه</t>
  </si>
  <si>
    <t>8.1.1404</t>
  </si>
  <si>
    <t xml:space="preserve">خرڅ شوی کاغذ اندازه او پیسی </t>
  </si>
  <si>
    <t xml:space="preserve">افغانی </t>
  </si>
  <si>
    <t xml:space="preserve">ډالر </t>
  </si>
  <si>
    <t>اندازه پاکټ</t>
  </si>
  <si>
    <t xml:space="preserve">بل نمبر </t>
  </si>
  <si>
    <t xml:space="preserve">رسید نمبر </t>
  </si>
  <si>
    <t xml:space="preserve">تاریخ </t>
  </si>
  <si>
    <t>سایز/'ګرام</t>
  </si>
  <si>
    <t>26*32/270</t>
  </si>
  <si>
    <t>ټن</t>
  </si>
  <si>
    <t>نوم</t>
  </si>
  <si>
    <t xml:space="preserve">شمشاد </t>
  </si>
  <si>
    <t xml:space="preserve">باقی </t>
  </si>
  <si>
    <t>ریټ</t>
  </si>
  <si>
    <t>1480$</t>
  </si>
  <si>
    <t>5.04.2026</t>
  </si>
  <si>
    <t>فایق</t>
  </si>
  <si>
    <t>1500$</t>
  </si>
  <si>
    <t>3000$</t>
  </si>
  <si>
    <t>58$</t>
  </si>
  <si>
    <t>9.04.2026</t>
  </si>
  <si>
    <t>32*20/270</t>
  </si>
  <si>
    <t>مدیر</t>
  </si>
  <si>
    <t>5.1.1405</t>
  </si>
  <si>
    <t>23*36/300</t>
  </si>
  <si>
    <t>بختیار ته د تیر کاغذ  نه</t>
  </si>
  <si>
    <t>بختیار</t>
  </si>
  <si>
    <t>EMBOSS</t>
  </si>
  <si>
    <t>NO</t>
  </si>
  <si>
    <t>Size mm</t>
  </si>
  <si>
    <t>Size inch</t>
  </si>
  <si>
    <t>Usage</t>
  </si>
  <si>
    <t xml:space="preserve">60 ml size </t>
  </si>
  <si>
    <t>Order</t>
  </si>
  <si>
    <t>Bleach Card Order</t>
  </si>
  <si>
    <t>250 gr</t>
  </si>
  <si>
    <t>30 ml size</t>
  </si>
  <si>
    <t>90 ml size</t>
  </si>
  <si>
    <t>200 ml size</t>
  </si>
  <si>
    <t>120 ml small</t>
  </si>
  <si>
    <t>120 ml big</t>
  </si>
  <si>
    <t xml:space="preserve">pack in Sheet </t>
  </si>
  <si>
    <t>584.2*685.8 mm</t>
  </si>
  <si>
    <t>711.2*508 mm</t>
  </si>
  <si>
    <t>635*711.2 mm</t>
  </si>
  <si>
    <t>584.2*914.4 mm</t>
  </si>
  <si>
    <t>812.8*1016 mm</t>
  </si>
  <si>
    <t xml:space="preserve">23*27 inch </t>
  </si>
  <si>
    <t xml:space="preserve">28*20 inch </t>
  </si>
  <si>
    <t xml:space="preserve">25*28 inch </t>
  </si>
  <si>
    <t xml:space="preserve">23*36 inch </t>
  </si>
  <si>
    <t xml:space="preserve">32*40 inch </t>
  </si>
  <si>
    <t>12 pack</t>
  </si>
  <si>
    <t xml:space="preserve">8 pack </t>
  </si>
  <si>
    <t>12 pack/8sari</t>
  </si>
  <si>
    <t xml:space="preserve">25.5*32 inch </t>
  </si>
  <si>
    <t>647.7*812.8 mm</t>
  </si>
  <si>
    <t xml:space="preserve">12 pack </t>
  </si>
  <si>
    <t>5 ton</t>
  </si>
  <si>
    <t xml:space="preserve">5 ton </t>
  </si>
  <si>
    <t>20 ton</t>
  </si>
  <si>
    <t>23 ton</t>
  </si>
  <si>
    <t>24 ton</t>
  </si>
  <si>
    <t>8 ton</t>
  </si>
  <si>
    <t>7 ton</t>
  </si>
  <si>
    <t>2.02.1405</t>
  </si>
  <si>
    <t>25*28</t>
  </si>
  <si>
    <t>711*635</t>
  </si>
  <si>
    <t>300gr</t>
  </si>
  <si>
    <t>312kg</t>
  </si>
  <si>
    <t>305kg</t>
  </si>
  <si>
    <t xml:space="preserve">300 gr </t>
  </si>
  <si>
    <t>28*25</t>
  </si>
  <si>
    <t>ton</t>
  </si>
  <si>
    <t>635*711</t>
  </si>
  <si>
    <t xml:space="preserve">د کاغذ ټول وزن د ۵ موټرو  مختلف سایزونه </t>
  </si>
  <si>
    <t>8.02.1405</t>
  </si>
  <si>
    <t>10.02.1405</t>
  </si>
  <si>
    <t>پامیر</t>
  </si>
  <si>
    <t>14.4.2026</t>
  </si>
  <si>
    <t xml:space="preserve">عزت </t>
  </si>
  <si>
    <t>20.01.1405</t>
  </si>
  <si>
    <t xml:space="preserve">اوله هفته </t>
  </si>
  <si>
    <t xml:space="preserve">دوهمه هفته </t>
  </si>
  <si>
    <t xml:space="preserve">دریمه هفته </t>
  </si>
  <si>
    <t xml:space="preserve">څلورمه هفته </t>
  </si>
  <si>
    <t>30ml</t>
  </si>
  <si>
    <t>tab</t>
  </si>
  <si>
    <t xml:space="preserve">پاکټونو مجموعه </t>
  </si>
  <si>
    <t>حوت</t>
  </si>
  <si>
    <t>رسید</t>
  </si>
  <si>
    <t>12 Ton shmshad</t>
  </si>
  <si>
    <t>16*13</t>
  </si>
  <si>
    <t>17800 DOLLAR</t>
  </si>
  <si>
    <t>وصول</t>
  </si>
  <si>
    <t>20*30</t>
  </si>
  <si>
    <t xml:space="preserve">صدیق </t>
  </si>
  <si>
    <t>1123kg</t>
  </si>
  <si>
    <t xml:space="preserve">دری اډی او یو پاکټ جدا چی صدیق زنګ وهلی وو </t>
  </si>
  <si>
    <t>packt in 1 ton</t>
  </si>
  <si>
    <t>Pack in sheat</t>
  </si>
  <si>
    <t>Pack in packt</t>
  </si>
  <si>
    <t>Pack in ton</t>
  </si>
  <si>
    <t xml:space="preserve">Ton price </t>
  </si>
  <si>
    <t xml:space="preserve">packet price </t>
  </si>
  <si>
    <t xml:space="preserve">sheet price </t>
  </si>
  <si>
    <t>pack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</si>
</sst>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000401]0"/>
  </numFmts>
  <fonts count="8" x14ac:knownFonts="1">
    <font>
      <sz val="12"/>
      <color theme="1"/>
      <name val="Andalu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/>
    <xf numFmtId="0" fontId="2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 textRotation="90"/>
    </xf>
    <xf numFmtId="0" fontId="4" fillId="5" borderId="1" xfId="0" applyFont="1" applyFill="1" applyBorder="1" applyAlignment="1">
      <alignment horizontal="center" vertical="center" textRotation="90" shrinkToFit="1"/>
    </xf>
    <xf numFmtId="0" fontId="5" fillId="5" borderId="1" xfId="0" applyFont="1" applyFill="1" applyBorder="1" applyAlignment="1">
      <alignment horizontal="center" vertical="center" textRotation="90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textRotation="90"/>
    </xf>
    <xf numFmtId="0" fontId="2" fillId="7" borderId="1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90"/>
    </xf>
    <xf numFmtId="0" fontId="0" fillId="0" borderId="0" xfId="0" applyAlignment="1">
      <alignment textRotation="90"/>
    </xf>
    <xf numFmtId="0" fontId="3" fillId="2" borderId="1" xfId="0" applyFont="1" applyFill="1" applyBorder="1" applyAlignment="1">
      <alignment horizontal="center" vertical="center" textRotation="90"/>
    </xf>
    <xf numFmtId="0" fontId="3" fillId="6" borderId="1" xfId="0" applyFont="1" applyFill="1" applyBorder="1" applyAlignment="1">
      <alignment horizontal="center" vertical="center" textRotation="90"/>
    </xf>
    <xf numFmtId="0" fontId="3" fillId="7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 textRotation="90"/>
    </xf>
    <xf numFmtId="0" fontId="3" fillId="8" borderId="1" xfId="0" applyFont="1" applyFill="1" applyBorder="1" applyAlignment="1">
      <alignment horizontal="center" vertical="center" textRotation="90"/>
    </xf>
    <xf numFmtId="0" fontId="2" fillId="8" borderId="1" xfId="0" applyFont="1" applyFill="1" applyBorder="1" applyAlignment="1">
      <alignment horizontal="center" vertical="center" textRotation="90"/>
    </xf>
    <xf numFmtId="0" fontId="2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textRotation="90" shrinkToFit="1"/>
    </xf>
    <xf numFmtId="0" fontId="1" fillId="8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22" xfId="0" applyFont="1" applyBorder="1"/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vertical="center"/>
    </xf>
    <xf numFmtId="0" fontId="1" fillId="7" borderId="26" xfId="0" applyFont="1" applyFill="1" applyBorder="1" applyAlignment="1">
      <alignment horizontal="center" vertical="center" textRotation="90"/>
    </xf>
    <xf numFmtId="164" fontId="1" fillId="4" borderId="0" xfId="0" applyNumberFormat="1" applyFont="1" applyFill="1" applyAlignment="1">
      <alignment horizontal="center" vertical="center"/>
    </xf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" fillId="7" borderId="15" xfId="0" applyNumberFormat="1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64" fontId="6" fillId="0" borderId="15" xfId="0" applyNumberFormat="1" applyFont="1" applyBorder="1" applyAlignment="1">
      <alignment horizontal="center" vertical="center" textRotation="90"/>
    </xf>
    <xf numFmtId="0" fontId="6" fillId="0" borderId="15" xfId="0" applyFont="1" applyBorder="1" applyAlignment="1">
      <alignment horizontal="center" vertical="center" textRotation="90"/>
    </xf>
    <xf numFmtId="0" fontId="1" fillId="8" borderId="14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12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zoomScale="60" zoomScaleNormal="60" workbookViewId="0">
      <selection activeCell="S6" sqref="S6"/>
    </sheetView>
  </sheetViews>
  <sheetFormatPr defaultRowHeight="18.45" x14ac:dyDescent="0.5"/>
  <cols>
    <col min="1" max="1" width="10.3984375" style="15" customWidth="1"/>
    <col min="2" max="2" width="10.59765625" style="2" customWidth="1"/>
    <col min="3" max="3" width="4" style="6" customWidth="1"/>
    <col min="4" max="4" width="3.46484375" style="6" customWidth="1"/>
    <col min="5" max="5" width="5" style="6" customWidth="1"/>
    <col min="6" max="6" width="5.86328125" style="2" customWidth="1"/>
    <col min="7" max="7" width="5.33203125" style="2" customWidth="1"/>
    <col min="8" max="8" width="9.53125" style="2" customWidth="1"/>
    <col min="9" max="9" width="12.1328125" style="1" customWidth="1"/>
    <col min="10" max="10" width="10.6640625" style="1" customWidth="1"/>
    <col min="11" max="11" width="3.1328125" style="2" customWidth="1"/>
    <col min="12" max="12" width="5.46484375" style="2" customWidth="1"/>
    <col min="13" max="13" width="6.796875" style="2" customWidth="1"/>
    <col min="14" max="14" width="8.59765625" style="6" customWidth="1"/>
    <col min="15" max="15" width="10.6640625" style="1" customWidth="1"/>
    <col min="16" max="16" width="10.3984375" style="1" customWidth="1"/>
    <col min="17" max="17" width="11.9296875" style="1" bestFit="1" customWidth="1"/>
    <col min="18" max="16384" width="9.06640625" style="1"/>
  </cols>
  <sheetData>
    <row r="1" spans="1:17" ht="15.9" x14ac:dyDescent="0.45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</row>
    <row r="2" spans="1:17" ht="15.9" x14ac:dyDescent="0.45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</row>
    <row r="3" spans="1:17" ht="39.450000000000003" customHeight="1" x14ac:dyDescent="0.45">
      <c r="A3" s="16"/>
      <c r="B3" s="90"/>
      <c r="C3" s="91"/>
      <c r="D3" s="91"/>
      <c r="E3" s="91"/>
      <c r="F3" s="91"/>
      <c r="G3" s="91"/>
      <c r="H3" s="91"/>
      <c r="I3" s="91"/>
      <c r="J3" s="91"/>
      <c r="K3" s="91"/>
      <c r="L3" s="91"/>
      <c r="M3" s="92"/>
      <c r="N3" s="8">
        <v>1350</v>
      </c>
      <c r="O3" s="89"/>
      <c r="P3" s="89"/>
      <c r="Q3" s="89"/>
    </row>
    <row r="4" spans="1:17" ht="69.900000000000006" customHeight="1" x14ac:dyDescent="0.45">
      <c r="A4" s="10" t="s">
        <v>1</v>
      </c>
      <c r="B4" s="9" t="s">
        <v>2</v>
      </c>
      <c r="C4" s="9">
        <v>1</v>
      </c>
      <c r="D4" s="9">
        <v>2</v>
      </c>
      <c r="E4" s="9" t="s">
        <v>3</v>
      </c>
      <c r="F4" s="9" t="s">
        <v>7</v>
      </c>
      <c r="G4" s="25" t="s">
        <v>11</v>
      </c>
      <c r="H4" s="27" t="s">
        <v>164</v>
      </c>
      <c r="I4" s="9" t="s">
        <v>5</v>
      </c>
      <c r="J4" s="9" t="s">
        <v>4</v>
      </c>
      <c r="K4" s="25" t="s">
        <v>165</v>
      </c>
      <c r="L4" s="26" t="s">
        <v>166</v>
      </c>
      <c r="M4" s="25" t="s">
        <v>167</v>
      </c>
      <c r="N4" s="9" t="s">
        <v>168</v>
      </c>
      <c r="O4" s="9" t="s">
        <v>169</v>
      </c>
      <c r="P4" s="9" t="s">
        <v>170</v>
      </c>
      <c r="Q4" s="9" t="s">
        <v>171</v>
      </c>
    </row>
    <row r="5" spans="1:17" ht="37" customHeight="1" x14ac:dyDescent="0.45">
      <c r="A5" s="28" t="s">
        <v>8</v>
      </c>
      <c r="B5" s="29" t="s">
        <v>9</v>
      </c>
      <c r="C5" s="11">
        <v>23</v>
      </c>
      <c r="D5" s="11">
        <v>36</v>
      </c>
      <c r="E5" s="11">
        <v>250</v>
      </c>
      <c r="F5" s="11">
        <f>SUM(C5*D5*E5/3100)</f>
        <v>66.774193548387103</v>
      </c>
      <c r="G5" s="11">
        <v>1000</v>
      </c>
      <c r="H5" s="11">
        <f t="shared" ref="H5:H14" si="0">SUM(G5/I5)</f>
        <v>74.879227053140099</v>
      </c>
      <c r="I5" s="11">
        <f>SUM(F5/5)</f>
        <v>13.35483870967742</v>
      </c>
      <c r="J5" s="11">
        <f>SUM(I5/100)</f>
        <v>0.13354838709677419</v>
      </c>
      <c r="K5" s="11">
        <v>8</v>
      </c>
      <c r="L5" s="11">
        <f>SUM(K5*100)</f>
        <v>800</v>
      </c>
      <c r="M5" s="11">
        <f>SUM(H5*L5)</f>
        <v>59903.381642512082</v>
      </c>
      <c r="N5" s="11">
        <v>85000</v>
      </c>
      <c r="O5" s="11">
        <f>SUM(N5/H5)</f>
        <v>1135.1612903225807</v>
      </c>
      <c r="P5" s="11">
        <f>SUM(O5/100)</f>
        <v>11.351612903225806</v>
      </c>
      <c r="Q5" s="11">
        <f>SUM(P5/8)</f>
        <v>1.4189516129032258</v>
      </c>
    </row>
    <row r="6" spans="1:17" ht="37" customHeight="1" x14ac:dyDescent="0.45">
      <c r="A6" s="28" t="s">
        <v>8</v>
      </c>
      <c r="B6" s="29" t="s">
        <v>9</v>
      </c>
      <c r="C6" s="11">
        <v>23</v>
      </c>
      <c r="D6" s="11">
        <v>36</v>
      </c>
      <c r="E6" s="11">
        <v>270</v>
      </c>
      <c r="F6" s="11">
        <f t="shared" ref="F6:F13" si="1">SUM(C6*D6*E6/3100)</f>
        <v>72.116129032258058</v>
      </c>
      <c r="G6" s="11">
        <v>1000</v>
      </c>
      <c r="H6" s="11">
        <f t="shared" si="0"/>
        <v>69.332617641796389</v>
      </c>
      <c r="I6" s="11">
        <f t="shared" ref="I6:I13" si="2">SUM(F6/5)</f>
        <v>14.423225806451612</v>
      </c>
      <c r="J6" s="11">
        <f>SUM(I6/100)</f>
        <v>0.14423225806451612</v>
      </c>
      <c r="K6" s="11">
        <v>8</v>
      </c>
      <c r="L6" s="11">
        <f t="shared" ref="L6:L14" si="3">SUM(K6*100)</f>
        <v>800</v>
      </c>
      <c r="M6" s="11">
        <f>SUM(H6*L6)</f>
        <v>55466.09411343711</v>
      </c>
      <c r="N6" s="11">
        <v>85000</v>
      </c>
      <c r="O6" s="11">
        <f>SUM(N6/H6)</f>
        <v>1225.9741935483871</v>
      </c>
      <c r="P6" s="11">
        <f t="shared" ref="P6:P13" si="4">SUM(O6/100)</f>
        <v>12.259741935483872</v>
      </c>
      <c r="Q6" s="11">
        <f>SUM(P6/8)</f>
        <v>1.532467741935484</v>
      </c>
    </row>
    <row r="7" spans="1:17" ht="37" customHeight="1" x14ac:dyDescent="0.45">
      <c r="A7" s="28" t="s">
        <v>8</v>
      </c>
      <c r="B7" s="29" t="s">
        <v>9</v>
      </c>
      <c r="C7" s="11">
        <v>23</v>
      </c>
      <c r="D7" s="11">
        <v>36</v>
      </c>
      <c r="E7" s="11">
        <v>300</v>
      </c>
      <c r="F7" s="11">
        <f t="shared" si="1"/>
        <v>80.129032258064512</v>
      </c>
      <c r="G7" s="11">
        <v>1000</v>
      </c>
      <c r="H7" s="11">
        <f t="shared" si="0"/>
        <v>62.399355877616756</v>
      </c>
      <c r="I7" s="11">
        <f t="shared" si="2"/>
        <v>16.025806451612901</v>
      </c>
      <c r="J7" s="11">
        <f>SUM(I7/100)</f>
        <v>0.16025806451612901</v>
      </c>
      <c r="K7" s="11">
        <v>8</v>
      </c>
      <c r="L7" s="11">
        <f t="shared" si="3"/>
        <v>800</v>
      </c>
      <c r="M7" s="11">
        <f>SUM(H7*L7)</f>
        <v>49919.484702093403</v>
      </c>
      <c r="N7" s="11">
        <v>85000</v>
      </c>
      <c r="O7" s="11">
        <f>SUM(N7/H7)</f>
        <v>1362.1935483870966</v>
      </c>
      <c r="P7" s="11">
        <f t="shared" si="4"/>
        <v>13.621935483870965</v>
      </c>
      <c r="Q7" s="8">
        <f>SUM(P7/8)</f>
        <v>1.7027419354838707</v>
      </c>
    </row>
    <row r="8" spans="1:17" ht="37" customHeight="1" x14ac:dyDescent="0.45">
      <c r="A8" s="30" t="s">
        <v>6</v>
      </c>
      <c r="B8" s="31" t="s">
        <v>10</v>
      </c>
      <c r="C8" s="12">
        <v>32</v>
      </c>
      <c r="D8" s="12">
        <v>26</v>
      </c>
      <c r="E8" s="12">
        <v>250</v>
      </c>
      <c r="F8" s="12">
        <f t="shared" si="1"/>
        <v>67.096774193548384</v>
      </c>
      <c r="G8" s="12">
        <v>1000</v>
      </c>
      <c r="H8" s="12">
        <f t="shared" si="0"/>
        <v>74.519230769230774</v>
      </c>
      <c r="I8" s="12">
        <f t="shared" si="2"/>
        <v>13.419354838709676</v>
      </c>
      <c r="J8" s="12">
        <f t="shared" ref="J8:J13" si="5">SUM(I8/100)</f>
        <v>0.13419354838709677</v>
      </c>
      <c r="K8" s="12">
        <v>12</v>
      </c>
      <c r="L8" s="12">
        <f t="shared" si="3"/>
        <v>1200</v>
      </c>
      <c r="M8" s="12">
        <f t="shared" ref="M8:M13" si="6">SUM(H8*L8)</f>
        <v>89423.076923076922</v>
      </c>
      <c r="N8" s="12">
        <v>85000</v>
      </c>
      <c r="O8" s="12">
        <f t="shared" ref="O8:O13" si="7">SUM(N8/H8)</f>
        <v>1140.6451612903224</v>
      </c>
      <c r="P8" s="12">
        <f t="shared" si="4"/>
        <v>11.406451612903224</v>
      </c>
      <c r="Q8" s="8">
        <f>SUM(P8/K8)</f>
        <v>0.95053763440860195</v>
      </c>
    </row>
    <row r="9" spans="1:17" ht="37" customHeight="1" x14ac:dyDescent="0.45">
      <c r="A9" s="30" t="s">
        <v>6</v>
      </c>
      <c r="B9" s="31" t="s">
        <v>10</v>
      </c>
      <c r="C9" s="12">
        <v>32</v>
      </c>
      <c r="D9" s="12">
        <v>26</v>
      </c>
      <c r="E9" s="12">
        <v>270</v>
      </c>
      <c r="F9" s="12">
        <f t="shared" si="1"/>
        <v>72.464516129032262</v>
      </c>
      <c r="G9" s="12">
        <v>1000</v>
      </c>
      <c r="H9" s="12">
        <f t="shared" si="0"/>
        <v>68.999287749287745</v>
      </c>
      <c r="I9" s="12">
        <f t="shared" si="2"/>
        <v>14.492903225806453</v>
      </c>
      <c r="J9" s="12">
        <f t="shared" si="5"/>
        <v>0.14492903225806453</v>
      </c>
      <c r="K9" s="12">
        <v>12</v>
      </c>
      <c r="L9" s="12">
        <f t="shared" si="3"/>
        <v>1200</v>
      </c>
      <c r="M9" s="12">
        <f t="shared" si="6"/>
        <v>82799.145299145297</v>
      </c>
      <c r="N9" s="12">
        <v>85000</v>
      </c>
      <c r="O9" s="12">
        <f t="shared" si="7"/>
        <v>1231.8967741935485</v>
      </c>
      <c r="P9" s="12">
        <f t="shared" si="4"/>
        <v>12.318967741935484</v>
      </c>
      <c r="Q9" s="8">
        <f>SUM(P9/K9)</f>
        <v>1.0265806451612904</v>
      </c>
    </row>
    <row r="10" spans="1:17" ht="37" customHeight="1" x14ac:dyDescent="0.45">
      <c r="A10" s="30" t="s">
        <v>6</v>
      </c>
      <c r="B10" s="31" t="s">
        <v>10</v>
      </c>
      <c r="C10" s="12">
        <v>32</v>
      </c>
      <c r="D10" s="12">
        <v>26</v>
      </c>
      <c r="E10" s="12">
        <v>300</v>
      </c>
      <c r="F10" s="12">
        <f t="shared" si="1"/>
        <v>80.516129032258064</v>
      </c>
      <c r="G10" s="12">
        <v>1000</v>
      </c>
      <c r="H10" s="12">
        <f t="shared" si="0"/>
        <v>62.099358974358978</v>
      </c>
      <c r="I10" s="12">
        <f t="shared" si="2"/>
        <v>16.103225806451611</v>
      </c>
      <c r="J10" s="12">
        <f t="shared" si="5"/>
        <v>0.16103225806451613</v>
      </c>
      <c r="K10" s="12">
        <v>12</v>
      </c>
      <c r="L10" s="12">
        <f t="shared" si="3"/>
        <v>1200</v>
      </c>
      <c r="M10" s="12">
        <f t="shared" si="6"/>
        <v>74519.23076923078</v>
      </c>
      <c r="N10" s="12">
        <v>85000</v>
      </c>
      <c r="O10" s="12">
        <f t="shared" si="7"/>
        <v>1368.7741935483871</v>
      </c>
      <c r="P10" s="12">
        <f t="shared" si="4"/>
        <v>13.687741935483871</v>
      </c>
      <c r="Q10" s="8">
        <f>SUM(P10/K10)</f>
        <v>1.1406451612903226</v>
      </c>
    </row>
    <row r="11" spans="1:17" ht="37" customHeight="1" x14ac:dyDescent="0.45">
      <c r="A11" s="32" t="s">
        <v>12</v>
      </c>
      <c r="B11" s="33" t="s">
        <v>13</v>
      </c>
      <c r="C11" s="7">
        <v>20</v>
      </c>
      <c r="D11" s="7">
        <v>32</v>
      </c>
      <c r="E11" s="7">
        <v>250</v>
      </c>
      <c r="F11" s="7">
        <f t="shared" si="1"/>
        <v>51.612903225806448</v>
      </c>
      <c r="G11" s="7">
        <v>1000</v>
      </c>
      <c r="H11" s="7">
        <f t="shared" si="0"/>
        <v>96.875</v>
      </c>
      <c r="I11" s="7">
        <f t="shared" si="2"/>
        <v>10.32258064516129</v>
      </c>
      <c r="J11" s="7">
        <f t="shared" si="5"/>
        <v>0.1032258064516129</v>
      </c>
      <c r="K11" s="7">
        <v>8</v>
      </c>
      <c r="L11" s="7">
        <f t="shared" si="3"/>
        <v>800</v>
      </c>
      <c r="M11" s="7">
        <f t="shared" si="6"/>
        <v>77500</v>
      </c>
      <c r="N11" s="7">
        <v>85000</v>
      </c>
      <c r="O11" s="7">
        <f t="shared" si="7"/>
        <v>877.41935483870964</v>
      </c>
      <c r="P11" s="7">
        <f t="shared" si="4"/>
        <v>8.7741935483870961</v>
      </c>
      <c r="Q11" s="7">
        <f>SUM(P11/8)</f>
        <v>1.096774193548387</v>
      </c>
    </row>
    <row r="12" spans="1:17" ht="37" customHeight="1" x14ac:dyDescent="0.45">
      <c r="A12" s="32" t="s">
        <v>12</v>
      </c>
      <c r="B12" s="33" t="s">
        <v>13</v>
      </c>
      <c r="C12" s="7">
        <v>20</v>
      </c>
      <c r="D12" s="7">
        <v>30</v>
      </c>
      <c r="E12" s="7">
        <v>270</v>
      </c>
      <c r="F12" s="7">
        <f t="shared" si="1"/>
        <v>52.258064516129032</v>
      </c>
      <c r="G12" s="7">
        <v>1000</v>
      </c>
      <c r="H12" s="7">
        <f t="shared" si="0"/>
        <v>95.679012345679013</v>
      </c>
      <c r="I12" s="7">
        <f t="shared" si="2"/>
        <v>10.451612903225806</v>
      </c>
      <c r="J12" s="7">
        <f t="shared" si="5"/>
        <v>0.10451612903225806</v>
      </c>
      <c r="K12" s="7">
        <v>8</v>
      </c>
      <c r="L12" s="7">
        <f t="shared" si="3"/>
        <v>800</v>
      </c>
      <c r="M12" s="7">
        <f t="shared" si="6"/>
        <v>76543.209876543217</v>
      </c>
      <c r="N12" s="7">
        <v>103620</v>
      </c>
      <c r="O12" s="7">
        <f t="shared" si="7"/>
        <v>1082.9961290322581</v>
      </c>
      <c r="P12" s="7">
        <f t="shared" si="4"/>
        <v>10.829961290322581</v>
      </c>
      <c r="Q12" s="8">
        <f>SUM(P12/8)</f>
        <v>1.3537451612903226</v>
      </c>
    </row>
    <row r="13" spans="1:17" ht="37" customHeight="1" x14ac:dyDescent="0.45">
      <c r="A13" s="32" t="s">
        <v>160</v>
      </c>
      <c r="B13" s="33" t="s">
        <v>13</v>
      </c>
      <c r="C13" s="7">
        <v>20</v>
      </c>
      <c r="D13" s="7">
        <v>30</v>
      </c>
      <c r="E13" s="7">
        <v>300</v>
      </c>
      <c r="F13" s="7">
        <f t="shared" si="1"/>
        <v>58.064516129032256</v>
      </c>
      <c r="G13" s="7">
        <v>1000</v>
      </c>
      <c r="H13" s="7">
        <f t="shared" si="0"/>
        <v>86.111111111111114</v>
      </c>
      <c r="I13" s="7">
        <f t="shared" si="2"/>
        <v>11.612903225806452</v>
      </c>
      <c r="J13" s="7">
        <f t="shared" si="5"/>
        <v>0.11612903225806452</v>
      </c>
      <c r="K13" s="7">
        <v>16</v>
      </c>
      <c r="L13" s="7">
        <f t="shared" si="3"/>
        <v>1600</v>
      </c>
      <c r="M13" s="7">
        <f t="shared" si="6"/>
        <v>137777.77777777778</v>
      </c>
      <c r="N13" s="7">
        <v>103620</v>
      </c>
      <c r="O13" s="7">
        <f t="shared" si="7"/>
        <v>1203.3290322580644</v>
      </c>
      <c r="P13" s="7">
        <f t="shared" si="4"/>
        <v>12.033290322580644</v>
      </c>
      <c r="Q13" s="7">
        <f>SUM(P13/8)</f>
        <v>1.5041612903225805</v>
      </c>
    </row>
    <row r="14" spans="1:17" ht="32.049999999999997" customHeight="1" x14ac:dyDescent="0.45">
      <c r="A14" s="34" t="s">
        <v>157</v>
      </c>
      <c r="B14" s="8"/>
      <c r="C14" s="8">
        <v>26</v>
      </c>
      <c r="D14" s="8">
        <v>32</v>
      </c>
      <c r="E14" s="8">
        <v>250</v>
      </c>
      <c r="F14" s="8">
        <f>SUM(C14*D14*E14/3100)</f>
        <v>67.096774193548384</v>
      </c>
      <c r="G14" s="8">
        <v>1000</v>
      </c>
      <c r="H14" s="8">
        <f t="shared" si="0"/>
        <v>74.519230769230774</v>
      </c>
      <c r="I14" s="8">
        <f>SUM(F14/5)</f>
        <v>13.419354838709676</v>
      </c>
      <c r="J14" s="8">
        <f>SUM(I14/100)</f>
        <v>0.13419354838709677</v>
      </c>
      <c r="K14" s="8">
        <v>12</v>
      </c>
      <c r="L14" s="8">
        <f t="shared" si="3"/>
        <v>1200</v>
      </c>
      <c r="M14" s="8">
        <f>SUM(H14*L14)</f>
        <v>89423.076923076922</v>
      </c>
      <c r="N14" s="8">
        <v>85000</v>
      </c>
      <c r="O14" s="8">
        <f>SUM(N14/H14)</f>
        <v>1140.6451612903224</v>
      </c>
      <c r="P14" s="8">
        <f>SUM(O14/100)</f>
        <v>11.406451612903224</v>
      </c>
      <c r="Q14" s="8">
        <f>SUM(P14/12)</f>
        <v>0.95053763440860195</v>
      </c>
    </row>
    <row r="15" spans="1:17" ht="25" customHeight="1" x14ac:dyDescent="0.5">
      <c r="A15" s="14"/>
      <c r="B15" s="4"/>
      <c r="C15" s="5"/>
      <c r="D15" s="5"/>
      <c r="E15" s="5"/>
      <c r="F15" s="4"/>
      <c r="G15" s="4"/>
      <c r="H15" s="4"/>
      <c r="I15" s="3"/>
      <c r="J15" s="3"/>
      <c r="K15" s="4"/>
      <c r="L15" s="4"/>
      <c r="M15" s="4"/>
      <c r="N15" s="5"/>
      <c r="O15" s="3"/>
      <c r="P15" s="3"/>
      <c r="Q15" s="3"/>
    </row>
    <row r="16" spans="1:17" ht="25" customHeight="1" x14ac:dyDescent="0.5">
      <c r="A16" s="14"/>
      <c r="B16" s="4"/>
      <c r="C16" s="5"/>
      <c r="D16" s="5"/>
      <c r="E16" s="5"/>
      <c r="F16" s="4"/>
      <c r="G16" s="4"/>
      <c r="H16" s="4"/>
      <c r="I16" s="3"/>
      <c r="J16" s="3"/>
      <c r="K16" s="4"/>
      <c r="L16" s="4"/>
      <c r="M16" s="4"/>
      <c r="N16" s="5"/>
      <c r="O16" s="3"/>
      <c r="P16" s="3"/>
      <c r="Q16" s="3"/>
    </row>
    <row r="17" spans="1:17" ht="25" customHeight="1" x14ac:dyDescent="0.5">
      <c r="A17" s="14"/>
      <c r="B17" s="4"/>
      <c r="C17" s="5"/>
      <c r="D17" s="5"/>
      <c r="E17" s="5"/>
      <c r="F17" s="4"/>
      <c r="G17" s="4"/>
      <c r="H17" s="4"/>
      <c r="I17" s="3"/>
      <c r="J17" s="3"/>
      <c r="K17" s="4"/>
      <c r="L17" s="4"/>
      <c r="M17" s="4"/>
      <c r="N17" s="5"/>
      <c r="O17" s="3"/>
      <c r="P17" s="3"/>
      <c r="Q17" s="3"/>
    </row>
    <row r="18" spans="1:17" ht="25" customHeight="1" x14ac:dyDescent="0.5">
      <c r="A18" s="14"/>
      <c r="B18" s="4"/>
      <c r="C18" s="5"/>
      <c r="D18" s="5"/>
      <c r="E18" s="5"/>
      <c r="F18" s="4"/>
      <c r="G18" s="4"/>
      <c r="H18" s="4"/>
      <c r="I18" s="3"/>
      <c r="J18" s="3"/>
      <c r="K18" s="4"/>
      <c r="L18" s="4"/>
      <c r="M18" s="4"/>
      <c r="N18" s="5"/>
      <c r="O18" s="3"/>
      <c r="P18" s="3"/>
      <c r="Q18" s="3"/>
    </row>
    <row r="19" spans="1:17" ht="25" customHeight="1" x14ac:dyDescent="0.5">
      <c r="A19" s="14"/>
      <c r="B19" s="4"/>
      <c r="C19" s="5"/>
      <c r="D19" s="5"/>
      <c r="E19" s="5"/>
      <c r="F19" s="4"/>
      <c r="G19" s="4"/>
      <c r="H19" s="4"/>
      <c r="I19" s="3"/>
      <c r="J19" s="3"/>
      <c r="K19" s="4"/>
      <c r="L19" s="4"/>
      <c r="M19" s="4"/>
      <c r="N19" s="5"/>
      <c r="O19" s="3"/>
      <c r="P19" s="3"/>
      <c r="Q19" s="3"/>
    </row>
    <row r="20" spans="1:17" ht="25" customHeight="1" x14ac:dyDescent="0.5">
      <c r="A20" s="14"/>
      <c r="B20" s="4"/>
      <c r="C20" s="5"/>
      <c r="D20" s="5"/>
      <c r="E20" s="5"/>
      <c r="F20" s="4"/>
      <c r="G20" s="4"/>
      <c r="H20" s="4"/>
      <c r="I20" s="3"/>
      <c r="J20" s="3"/>
      <c r="K20" s="4"/>
      <c r="L20" s="4"/>
      <c r="M20" s="4"/>
      <c r="N20" s="5"/>
      <c r="O20" s="3"/>
      <c r="P20" s="3"/>
      <c r="Q20" s="3"/>
    </row>
    <row r="21" spans="1:17" ht="25" customHeight="1" x14ac:dyDescent="0.5">
      <c r="A21" s="14"/>
      <c r="B21" s="4"/>
      <c r="C21" s="5"/>
      <c r="D21" s="5"/>
      <c r="E21" s="5"/>
      <c r="F21" s="4"/>
      <c r="G21" s="4"/>
      <c r="H21" s="4"/>
      <c r="I21" s="3"/>
      <c r="J21" s="3"/>
      <c r="K21" s="4"/>
      <c r="L21" s="4"/>
      <c r="M21" s="4"/>
      <c r="N21" s="5"/>
      <c r="O21" s="3"/>
      <c r="P21" s="3"/>
      <c r="Q21" s="3"/>
    </row>
    <row r="22" spans="1:17" ht="25" customHeight="1" x14ac:dyDescent="0.5">
      <c r="A22" s="14"/>
      <c r="B22" s="4"/>
      <c r="C22" s="5"/>
      <c r="D22" s="5"/>
      <c r="E22" s="5"/>
      <c r="F22" s="4"/>
      <c r="G22" s="4"/>
      <c r="H22" s="4"/>
      <c r="I22" s="3"/>
      <c r="J22" s="3"/>
      <c r="K22" s="4"/>
      <c r="L22" s="4"/>
      <c r="M22" s="4"/>
      <c r="N22" s="5"/>
      <c r="O22" s="3"/>
      <c r="P22" s="3"/>
      <c r="Q22" s="3"/>
    </row>
    <row r="23" spans="1:17" ht="25" customHeight="1" x14ac:dyDescent="0.5">
      <c r="A23" s="14"/>
      <c r="B23" s="4"/>
      <c r="C23" s="5"/>
      <c r="D23" s="5"/>
      <c r="E23" s="5"/>
      <c r="F23" s="4"/>
      <c r="G23" s="4"/>
      <c r="H23" s="4"/>
      <c r="I23" s="3"/>
      <c r="J23" s="3"/>
      <c r="K23" s="4"/>
      <c r="L23" s="4"/>
      <c r="M23" s="4"/>
      <c r="N23" s="5"/>
      <c r="O23" s="3"/>
      <c r="P23" s="3"/>
      <c r="Q23" s="3"/>
    </row>
    <row r="24" spans="1:17" ht="25" customHeight="1" x14ac:dyDescent="0.5">
      <c r="A24" s="14"/>
      <c r="B24" s="4"/>
      <c r="C24" s="5"/>
      <c r="D24" s="5"/>
      <c r="E24" s="5"/>
      <c r="F24" s="4"/>
      <c r="G24" s="4"/>
      <c r="H24" s="4"/>
      <c r="I24" s="3"/>
      <c r="J24" s="3"/>
      <c r="K24" s="4"/>
      <c r="L24" s="4"/>
      <c r="M24" s="4"/>
      <c r="N24" s="5"/>
      <c r="O24" s="3"/>
      <c r="P24" s="3"/>
      <c r="Q24" s="3"/>
    </row>
    <row r="25" spans="1:17" ht="25" customHeight="1" x14ac:dyDescent="0.5">
      <c r="A25" s="14"/>
      <c r="B25" s="4"/>
      <c r="C25" s="5"/>
      <c r="D25" s="5"/>
      <c r="E25" s="5"/>
      <c r="F25" s="4"/>
      <c r="G25" s="4"/>
      <c r="H25" s="4"/>
      <c r="I25" s="3"/>
      <c r="J25" s="3"/>
      <c r="K25" s="4"/>
      <c r="L25" s="4"/>
      <c r="M25" s="4"/>
      <c r="N25" s="5"/>
      <c r="O25" s="3"/>
      <c r="P25" s="3"/>
      <c r="Q25" s="3"/>
    </row>
    <row r="26" spans="1:17" ht="25" customHeight="1" x14ac:dyDescent="0.5">
      <c r="A26" s="14"/>
      <c r="B26" s="4"/>
      <c r="C26" s="5"/>
      <c r="D26" s="5"/>
      <c r="E26" s="5"/>
      <c r="F26" s="4"/>
      <c r="G26" s="4"/>
      <c r="H26" s="4"/>
      <c r="I26" s="3"/>
      <c r="J26" s="3"/>
      <c r="K26" s="4"/>
      <c r="L26" s="4"/>
      <c r="M26" s="4"/>
      <c r="N26" s="5"/>
      <c r="O26" s="3"/>
      <c r="P26" s="3"/>
      <c r="Q26" s="3"/>
    </row>
    <row r="27" spans="1:17" ht="25" customHeight="1" x14ac:dyDescent="0.5">
      <c r="A27" s="14"/>
      <c r="B27" s="4"/>
      <c r="C27" s="5"/>
      <c r="D27" s="5"/>
      <c r="E27" s="5"/>
      <c r="F27" s="4"/>
      <c r="G27" s="4"/>
      <c r="H27" s="4"/>
      <c r="I27" s="3"/>
      <c r="J27" s="3"/>
      <c r="K27" s="4"/>
      <c r="L27" s="4"/>
      <c r="M27" s="4"/>
      <c r="N27" s="5"/>
      <c r="O27" s="3"/>
      <c r="P27" s="3"/>
      <c r="Q27" s="3"/>
    </row>
    <row r="28" spans="1:17" ht="25" customHeight="1" x14ac:dyDescent="0.5">
      <c r="A28" s="14"/>
      <c r="B28" s="4"/>
      <c r="C28" s="5"/>
      <c r="D28" s="5"/>
      <c r="E28" s="5"/>
      <c r="F28" s="4"/>
      <c r="G28" s="4"/>
      <c r="H28" s="4"/>
      <c r="I28" s="3"/>
      <c r="J28" s="3"/>
      <c r="K28" s="4"/>
      <c r="L28" s="4"/>
      <c r="M28" s="4"/>
      <c r="N28" s="5"/>
      <c r="O28" s="3"/>
      <c r="P28" s="3"/>
      <c r="Q28" s="3"/>
    </row>
  </sheetData>
  <mergeCells count="3">
    <mergeCell ref="A1:Q2"/>
    <mergeCell ref="O3:Q3"/>
    <mergeCell ref="B3:M3"/>
  </mergeCells>
  <printOptions horizontalCentered="1"/>
  <pageMargins left="0" right="0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zoomScale="60" zoomScaleNormal="60" workbookViewId="0">
      <selection activeCell="X9" sqref="X9"/>
    </sheetView>
  </sheetViews>
  <sheetFormatPr defaultRowHeight="20.149999999999999" x14ac:dyDescent="0.8"/>
  <cols>
    <col min="1" max="1" width="4.9296875" style="54" customWidth="1"/>
    <col min="2" max="2" width="4.53125" style="54" customWidth="1"/>
    <col min="3" max="3" width="4.3984375" customWidth="1"/>
    <col min="4" max="4" width="3.73046875" customWidth="1"/>
    <col min="5" max="5" width="4.19921875" customWidth="1"/>
    <col min="6" max="6" width="8.265625" customWidth="1"/>
    <col min="7" max="7" width="5.06640625" customWidth="1"/>
    <col min="9" max="9" width="12.3984375" customWidth="1"/>
    <col min="10" max="10" width="11.73046875" customWidth="1"/>
    <col min="11" max="11" width="3.796875" customWidth="1"/>
    <col min="12" max="12" width="5.19921875" customWidth="1"/>
    <col min="14" max="14" width="7.796875" customWidth="1"/>
  </cols>
  <sheetData>
    <row r="1" spans="1:17" x14ac:dyDescent="0.8">
      <c r="A1" s="55"/>
      <c r="B1" s="90"/>
      <c r="C1" s="91"/>
      <c r="D1" s="91"/>
      <c r="E1" s="91"/>
      <c r="F1" s="91"/>
      <c r="G1" s="91"/>
      <c r="H1" s="91"/>
      <c r="I1" s="91"/>
      <c r="J1" s="91"/>
      <c r="K1" s="91"/>
      <c r="L1" s="91"/>
      <c r="M1" s="92"/>
      <c r="N1" s="8">
        <v>1400</v>
      </c>
      <c r="O1" s="89"/>
      <c r="P1" s="89"/>
      <c r="Q1" s="89"/>
    </row>
    <row r="2" spans="1:17" ht="72" customHeight="1" x14ac:dyDescent="0.8">
      <c r="A2" s="25" t="s">
        <v>1</v>
      </c>
      <c r="B2" s="25" t="s">
        <v>2</v>
      </c>
      <c r="C2" s="9">
        <v>1</v>
      </c>
      <c r="D2" s="9">
        <v>2</v>
      </c>
      <c r="E2" s="9" t="s">
        <v>3</v>
      </c>
      <c r="F2" s="9" t="s">
        <v>7</v>
      </c>
      <c r="G2" s="25" t="s">
        <v>11</v>
      </c>
      <c r="H2" s="25" t="s">
        <v>44</v>
      </c>
      <c r="I2" s="9" t="s">
        <v>5</v>
      </c>
      <c r="J2" s="9" t="s">
        <v>4</v>
      </c>
      <c r="K2" s="25" t="s">
        <v>43</v>
      </c>
      <c r="L2" s="62" t="s">
        <v>42</v>
      </c>
      <c r="M2" s="9" t="s">
        <v>41</v>
      </c>
      <c r="N2" s="9" t="s">
        <v>40</v>
      </c>
      <c r="O2" s="9" t="s">
        <v>38</v>
      </c>
      <c r="P2" s="9" t="s">
        <v>39</v>
      </c>
      <c r="Q2" s="9" t="s">
        <v>37</v>
      </c>
    </row>
    <row r="3" spans="1:17" ht="50.05" customHeight="1" x14ac:dyDescent="0.8">
      <c r="A3" s="56" t="s">
        <v>8</v>
      </c>
      <c r="B3" s="51" t="s">
        <v>9</v>
      </c>
      <c r="C3" s="29">
        <v>23</v>
      </c>
      <c r="D3" s="29">
        <v>36</v>
      </c>
      <c r="E3" s="29">
        <v>300</v>
      </c>
      <c r="F3" s="29">
        <f t="shared" ref="F3:F11" si="0">SUM(C3*D3*E3/3100)</f>
        <v>80.129032258064512</v>
      </c>
      <c r="G3" s="29">
        <v>1000</v>
      </c>
      <c r="H3" s="29">
        <f t="shared" ref="H3:H11" si="1">SUM(G3/I3)</f>
        <v>62.399355877616756</v>
      </c>
      <c r="I3" s="29">
        <f t="shared" ref="I3:I11" si="2">SUM(F3/5)</f>
        <v>16.025806451612901</v>
      </c>
      <c r="J3" s="29">
        <f t="shared" ref="J3:J11" si="3">SUM(I3/100)</f>
        <v>0.16025806451612901</v>
      </c>
      <c r="K3" s="29">
        <v>8</v>
      </c>
      <c r="L3" s="29">
        <f t="shared" ref="L3:L11" si="4">SUM(K3*100)</f>
        <v>800</v>
      </c>
      <c r="M3" s="29">
        <f t="shared" ref="M3:M11" si="5">SUM(H3*L3)</f>
        <v>49919.484702093403</v>
      </c>
      <c r="N3" s="29">
        <v>90000</v>
      </c>
      <c r="O3" s="29">
        <f t="shared" ref="O3:O11" si="6">SUM(N3/H3)</f>
        <v>1442.322580645161</v>
      </c>
      <c r="P3" s="29">
        <f t="shared" ref="P3:P11" si="7">SUM(O3/100)</f>
        <v>14.42322580645161</v>
      </c>
      <c r="Q3" s="29">
        <f>SUM(P3/8)</f>
        <v>1.8029032258064512</v>
      </c>
    </row>
    <row r="4" spans="1:17" ht="50.05" customHeight="1" x14ac:dyDescent="0.8">
      <c r="A4" s="57" t="s">
        <v>6</v>
      </c>
      <c r="B4" s="52" t="s">
        <v>10</v>
      </c>
      <c r="C4" s="31">
        <v>32</v>
      </c>
      <c r="D4" s="31">
        <v>26</v>
      </c>
      <c r="E4" s="31">
        <v>250</v>
      </c>
      <c r="F4" s="31">
        <f t="shared" si="0"/>
        <v>67.096774193548384</v>
      </c>
      <c r="G4" s="31">
        <v>1000</v>
      </c>
      <c r="H4" s="31">
        <f t="shared" si="1"/>
        <v>74.519230769230774</v>
      </c>
      <c r="I4" s="31">
        <f t="shared" si="2"/>
        <v>13.419354838709676</v>
      </c>
      <c r="J4" s="31">
        <f t="shared" si="3"/>
        <v>0.13419354838709677</v>
      </c>
      <c r="K4" s="31">
        <v>12</v>
      </c>
      <c r="L4" s="31">
        <f t="shared" si="4"/>
        <v>1200</v>
      </c>
      <c r="M4" s="31">
        <f t="shared" si="5"/>
        <v>89423.076923076922</v>
      </c>
      <c r="N4" s="31">
        <v>90000</v>
      </c>
      <c r="O4" s="31">
        <f t="shared" si="6"/>
        <v>1207.741935483871</v>
      </c>
      <c r="P4" s="31">
        <f t="shared" si="7"/>
        <v>12.07741935483871</v>
      </c>
      <c r="Q4" s="31">
        <f>SUM(P4/K4)</f>
        <v>1.0064516129032259</v>
      </c>
    </row>
    <row r="5" spans="1:17" ht="50.05" customHeight="1" x14ac:dyDescent="0.8">
      <c r="A5" s="57" t="s">
        <v>6</v>
      </c>
      <c r="B5" s="52" t="s">
        <v>10</v>
      </c>
      <c r="C5" s="31">
        <v>32</v>
      </c>
      <c r="D5" s="31">
        <v>26</v>
      </c>
      <c r="E5" s="31">
        <v>270</v>
      </c>
      <c r="F5" s="31">
        <f t="shared" si="0"/>
        <v>72.464516129032262</v>
      </c>
      <c r="G5" s="31">
        <v>1000</v>
      </c>
      <c r="H5" s="31">
        <f t="shared" si="1"/>
        <v>68.999287749287745</v>
      </c>
      <c r="I5" s="31">
        <f t="shared" si="2"/>
        <v>14.492903225806453</v>
      </c>
      <c r="J5" s="31">
        <f t="shared" si="3"/>
        <v>0.14492903225806453</v>
      </c>
      <c r="K5" s="31">
        <v>12</v>
      </c>
      <c r="L5" s="31">
        <f t="shared" si="4"/>
        <v>1200</v>
      </c>
      <c r="M5" s="31">
        <f t="shared" si="5"/>
        <v>82799.145299145297</v>
      </c>
      <c r="N5" s="31">
        <v>90000</v>
      </c>
      <c r="O5" s="31">
        <f t="shared" si="6"/>
        <v>1304.3612903225808</v>
      </c>
      <c r="P5" s="31">
        <f t="shared" si="7"/>
        <v>13.043612903225808</v>
      </c>
      <c r="Q5" s="31">
        <f>SUM(P5/K5)</f>
        <v>1.086967741935484</v>
      </c>
    </row>
    <row r="6" spans="1:17" ht="50.05" customHeight="1" x14ac:dyDescent="0.8">
      <c r="A6" s="58" t="s">
        <v>12</v>
      </c>
      <c r="B6" s="53" t="s">
        <v>13</v>
      </c>
      <c r="C6" s="33">
        <v>20</v>
      </c>
      <c r="D6" s="33">
        <v>32</v>
      </c>
      <c r="E6" s="33">
        <v>270</v>
      </c>
      <c r="F6" s="33">
        <f t="shared" si="0"/>
        <v>55.741935483870968</v>
      </c>
      <c r="G6" s="33">
        <v>1000</v>
      </c>
      <c r="H6" s="33">
        <f t="shared" si="1"/>
        <v>89.699074074074076</v>
      </c>
      <c r="I6" s="33">
        <f t="shared" si="2"/>
        <v>11.148387096774194</v>
      </c>
      <c r="J6" s="33">
        <f t="shared" si="3"/>
        <v>0.11148387096774194</v>
      </c>
      <c r="K6" s="33">
        <v>8</v>
      </c>
      <c r="L6" s="33">
        <f t="shared" si="4"/>
        <v>800</v>
      </c>
      <c r="M6" s="33">
        <f t="shared" si="5"/>
        <v>71759.259259259255</v>
      </c>
      <c r="N6" s="33">
        <v>90000</v>
      </c>
      <c r="O6" s="33">
        <f t="shared" si="6"/>
        <v>1003.3548387096774</v>
      </c>
      <c r="P6" s="33">
        <f t="shared" si="7"/>
        <v>10.033548387096774</v>
      </c>
      <c r="Q6" s="33">
        <f>SUM(P6/8)</f>
        <v>1.2541935483870967</v>
      </c>
    </row>
    <row r="7" spans="1:17" ht="50.05" customHeight="1" x14ac:dyDescent="0.8">
      <c r="A7" s="58" t="s">
        <v>160</v>
      </c>
      <c r="B7" s="53" t="s">
        <v>13</v>
      </c>
      <c r="C7" s="7">
        <v>20</v>
      </c>
      <c r="D7" s="7">
        <v>30</v>
      </c>
      <c r="E7" s="7">
        <v>270</v>
      </c>
      <c r="F7" s="7">
        <f t="shared" si="0"/>
        <v>52.258064516129032</v>
      </c>
      <c r="G7" s="7">
        <v>1000</v>
      </c>
      <c r="H7" s="7">
        <f t="shared" si="1"/>
        <v>95.679012345679013</v>
      </c>
      <c r="I7" s="7">
        <f t="shared" si="2"/>
        <v>10.451612903225806</v>
      </c>
      <c r="J7" s="7">
        <f t="shared" si="3"/>
        <v>0.10451612903225806</v>
      </c>
      <c r="K7" s="7">
        <v>8</v>
      </c>
      <c r="L7" s="7">
        <f t="shared" si="4"/>
        <v>800</v>
      </c>
      <c r="M7" s="33">
        <f t="shared" si="5"/>
        <v>76543.209876543217</v>
      </c>
      <c r="N7" s="33">
        <v>90000</v>
      </c>
      <c r="O7" s="33">
        <f t="shared" si="6"/>
        <v>940.64516129032256</v>
      </c>
      <c r="P7" s="33">
        <f>SUM(O7/100)</f>
        <v>9.4064516129032256</v>
      </c>
      <c r="Q7" s="33">
        <f>SUM(P7/8)</f>
        <v>1.1758064516129032</v>
      </c>
    </row>
    <row r="8" spans="1:17" ht="50.05" customHeight="1" x14ac:dyDescent="0.8">
      <c r="A8" s="59" t="s">
        <v>131</v>
      </c>
      <c r="B8" s="60" t="s">
        <v>139</v>
      </c>
      <c r="C8" s="61">
        <v>25</v>
      </c>
      <c r="D8" s="61">
        <v>28</v>
      </c>
      <c r="E8" s="61">
        <v>300</v>
      </c>
      <c r="F8" s="61">
        <f t="shared" si="0"/>
        <v>67.741935483870961</v>
      </c>
      <c r="G8" s="61">
        <v>1000</v>
      </c>
      <c r="H8" s="61">
        <f t="shared" si="1"/>
        <v>73.80952380952381</v>
      </c>
      <c r="I8" s="61">
        <f t="shared" si="2"/>
        <v>13.548387096774192</v>
      </c>
      <c r="J8" s="61">
        <f t="shared" si="3"/>
        <v>0.13548387096774192</v>
      </c>
      <c r="K8" s="61">
        <v>12</v>
      </c>
      <c r="L8" s="61">
        <f t="shared" si="4"/>
        <v>1200</v>
      </c>
      <c r="M8" s="61">
        <f t="shared" si="5"/>
        <v>88571.428571428565</v>
      </c>
      <c r="N8" s="61">
        <v>90000</v>
      </c>
      <c r="O8" s="61">
        <f t="shared" si="6"/>
        <v>1219.3548387096773</v>
      </c>
      <c r="P8" s="61">
        <f t="shared" si="7"/>
        <v>12.193548387096774</v>
      </c>
      <c r="Q8" s="61">
        <f>SUM(P8/12)</f>
        <v>1.0161290322580645</v>
      </c>
    </row>
    <row r="9" spans="1:17" ht="50.05" customHeight="1" x14ac:dyDescent="0.8">
      <c r="A9" s="59" t="s">
        <v>131</v>
      </c>
      <c r="B9" s="60" t="s">
        <v>139</v>
      </c>
      <c r="C9" s="61">
        <v>25</v>
      </c>
      <c r="D9" s="61">
        <v>28</v>
      </c>
      <c r="E9" s="61">
        <v>270</v>
      </c>
      <c r="F9" s="61">
        <f t="shared" si="0"/>
        <v>60.967741935483872</v>
      </c>
      <c r="G9" s="61">
        <v>100</v>
      </c>
      <c r="H9" s="61">
        <f t="shared" si="1"/>
        <v>8.2010582010582009</v>
      </c>
      <c r="I9" s="61">
        <f t="shared" si="2"/>
        <v>12.193548387096774</v>
      </c>
      <c r="J9" s="61">
        <f t="shared" si="3"/>
        <v>0.12193548387096774</v>
      </c>
      <c r="K9" s="61">
        <v>12</v>
      </c>
      <c r="L9" s="61">
        <f t="shared" si="4"/>
        <v>1200</v>
      </c>
      <c r="M9" s="61">
        <f t="shared" si="5"/>
        <v>9841.269841269841</v>
      </c>
      <c r="N9" s="61">
        <v>90000</v>
      </c>
      <c r="O9" s="61">
        <f t="shared" si="6"/>
        <v>10974.193548387097</v>
      </c>
      <c r="P9" s="61">
        <f t="shared" si="7"/>
        <v>109.74193548387096</v>
      </c>
      <c r="Q9" s="61">
        <f>SUM(P9/12)</f>
        <v>9.1451612903225801</v>
      </c>
    </row>
    <row r="10" spans="1:17" ht="50.05" customHeight="1" x14ac:dyDescent="0.8">
      <c r="A10" s="56" t="s">
        <v>131</v>
      </c>
      <c r="B10" s="51" t="s">
        <v>139</v>
      </c>
      <c r="C10" s="29">
        <v>25</v>
      </c>
      <c r="D10" s="29">
        <v>28</v>
      </c>
      <c r="E10" s="29">
        <v>300</v>
      </c>
      <c r="F10" s="29">
        <f t="shared" si="0"/>
        <v>67.741935483870961</v>
      </c>
      <c r="G10" s="29">
        <v>1000</v>
      </c>
      <c r="H10" s="29">
        <f t="shared" si="1"/>
        <v>73.80952380952381</v>
      </c>
      <c r="I10" s="29">
        <f t="shared" si="2"/>
        <v>13.548387096774192</v>
      </c>
      <c r="J10" s="29">
        <f t="shared" si="3"/>
        <v>0.13548387096774192</v>
      </c>
      <c r="K10" s="29">
        <v>8</v>
      </c>
      <c r="L10" s="29">
        <f t="shared" si="4"/>
        <v>800</v>
      </c>
      <c r="M10" s="29">
        <f t="shared" si="5"/>
        <v>59047.619047619046</v>
      </c>
      <c r="N10" s="29">
        <v>90000</v>
      </c>
      <c r="O10" s="29">
        <f t="shared" si="6"/>
        <v>1219.3548387096773</v>
      </c>
      <c r="P10" s="29">
        <f t="shared" si="7"/>
        <v>12.193548387096774</v>
      </c>
      <c r="Q10" s="29">
        <f>SUM(P10/8)</f>
        <v>1.5241935483870968</v>
      </c>
    </row>
    <row r="11" spans="1:17" ht="50.05" customHeight="1" x14ac:dyDescent="0.8">
      <c r="A11" s="56" t="s">
        <v>131</v>
      </c>
      <c r="B11" s="51" t="s">
        <v>139</v>
      </c>
      <c r="C11" s="29">
        <v>25</v>
      </c>
      <c r="D11" s="29">
        <v>28</v>
      </c>
      <c r="E11" s="29">
        <v>270</v>
      </c>
      <c r="F11" s="29">
        <f>SUM(C11*D11*E11/3100)</f>
        <v>60.967741935483872</v>
      </c>
      <c r="G11" s="29">
        <v>1000</v>
      </c>
      <c r="H11" s="29">
        <f>SUM(G11/I11)</f>
        <v>82.010582010582013</v>
      </c>
      <c r="I11" s="29">
        <f t="shared" si="2"/>
        <v>12.193548387096774</v>
      </c>
      <c r="J11" s="29">
        <f t="shared" si="3"/>
        <v>0.12193548387096774</v>
      </c>
      <c r="K11" s="29">
        <v>8</v>
      </c>
      <c r="L11" s="29">
        <f t="shared" si="4"/>
        <v>800</v>
      </c>
      <c r="M11" s="29">
        <f t="shared" si="5"/>
        <v>65608.465608465616</v>
      </c>
      <c r="N11" s="29">
        <v>90000</v>
      </c>
      <c r="O11" s="29">
        <f t="shared" si="6"/>
        <v>1097.4193548387098</v>
      </c>
      <c r="P11" s="29">
        <f t="shared" si="7"/>
        <v>10.974193548387097</v>
      </c>
      <c r="Q11" s="29">
        <f>SUM(P11/8)</f>
        <v>1.3717741935483871</v>
      </c>
    </row>
  </sheetData>
  <mergeCells count="2">
    <mergeCell ref="B1:M1"/>
    <mergeCell ref="O1:Q1"/>
  </mergeCells>
  <printOptions horizontalCentered="1" verticalCentered="1"/>
  <pageMargins left="0" right="0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19" workbookViewId="0">
      <selection activeCell="D27" sqref="D27"/>
    </sheetView>
  </sheetViews>
  <sheetFormatPr defaultRowHeight="15.9" x14ac:dyDescent="0.45"/>
  <cols>
    <col min="1" max="1" width="10.6640625" style="1" customWidth="1"/>
    <col min="2" max="2" width="9.1328125" style="1" customWidth="1"/>
    <col min="3" max="3" width="10.06640625" style="1" customWidth="1"/>
    <col min="4" max="4" width="11.86328125" style="1" customWidth="1"/>
    <col min="5" max="5" width="8.6640625" style="1" customWidth="1"/>
    <col min="6" max="6" width="13.73046875" style="1" customWidth="1"/>
    <col min="7" max="7" width="9.19921875" style="2" customWidth="1"/>
    <col min="8" max="8" width="13.3984375" style="1" customWidth="1"/>
    <col min="9" max="9" width="13.19921875" style="1" customWidth="1"/>
    <col min="10" max="10" width="14.86328125" style="1" customWidth="1"/>
    <col min="11" max="16384" width="9.06640625" style="1"/>
  </cols>
  <sheetData>
    <row r="1" spans="1:10" x14ac:dyDescent="0.45">
      <c r="A1" s="97" t="s">
        <v>18</v>
      </c>
      <c r="B1" s="98"/>
      <c r="C1" s="97" t="s">
        <v>17</v>
      </c>
      <c r="D1" s="97"/>
      <c r="E1" s="97" t="s">
        <v>16</v>
      </c>
      <c r="F1" s="97"/>
      <c r="G1" s="97" t="s">
        <v>15</v>
      </c>
      <c r="H1" s="97"/>
      <c r="I1" s="97" t="s">
        <v>14</v>
      </c>
      <c r="J1" s="97"/>
    </row>
    <row r="2" spans="1:10" x14ac:dyDescent="0.45">
      <c r="A2" s="18" t="s">
        <v>130</v>
      </c>
      <c r="B2" s="49" t="s">
        <v>19</v>
      </c>
      <c r="C2" s="18" t="s">
        <v>64</v>
      </c>
      <c r="D2" s="18" t="s">
        <v>19</v>
      </c>
      <c r="E2" s="18" t="s">
        <v>21</v>
      </c>
      <c r="F2" s="18" t="s">
        <v>19</v>
      </c>
      <c r="G2" s="18" t="s">
        <v>20</v>
      </c>
      <c r="H2" s="18" t="s">
        <v>19</v>
      </c>
      <c r="I2" s="18" t="s">
        <v>20</v>
      </c>
      <c r="J2" s="18" t="s">
        <v>19</v>
      </c>
    </row>
    <row r="3" spans="1:10" x14ac:dyDescent="0.45">
      <c r="A3" s="19" t="s">
        <v>131</v>
      </c>
      <c r="B3" s="19" t="s">
        <v>22</v>
      </c>
      <c r="C3" s="66" t="s">
        <v>8</v>
      </c>
      <c r="D3" s="66" t="s">
        <v>22</v>
      </c>
      <c r="E3" s="13" t="s">
        <v>12</v>
      </c>
      <c r="F3" s="13" t="s">
        <v>22</v>
      </c>
      <c r="G3" s="63" t="s">
        <v>30</v>
      </c>
      <c r="H3" s="63" t="s">
        <v>22</v>
      </c>
      <c r="I3" s="64" t="s">
        <v>8</v>
      </c>
      <c r="J3" s="64" t="s">
        <v>22</v>
      </c>
    </row>
    <row r="4" spans="1:10" x14ac:dyDescent="0.45">
      <c r="A4" s="19" t="s">
        <v>132</v>
      </c>
      <c r="B4" s="19" t="s">
        <v>24</v>
      </c>
      <c r="C4" s="66" t="s">
        <v>9</v>
      </c>
      <c r="D4" s="66" t="s">
        <v>24</v>
      </c>
      <c r="E4" s="13" t="s">
        <v>13</v>
      </c>
      <c r="F4" s="13" t="s">
        <v>24</v>
      </c>
      <c r="G4" s="19" t="s">
        <v>31</v>
      </c>
      <c r="H4" s="19" t="s">
        <v>24</v>
      </c>
      <c r="I4" s="65" t="s">
        <v>9</v>
      </c>
      <c r="J4" s="65" t="s">
        <v>24</v>
      </c>
    </row>
    <row r="5" spans="1:10" x14ac:dyDescent="0.45">
      <c r="A5" s="19" t="s">
        <v>133</v>
      </c>
      <c r="B5" s="19" t="s">
        <v>23</v>
      </c>
      <c r="C5" s="66" t="s">
        <v>28</v>
      </c>
      <c r="D5" s="66" t="s">
        <v>23</v>
      </c>
      <c r="E5" s="13">
        <v>270</v>
      </c>
      <c r="F5" s="13" t="s">
        <v>23</v>
      </c>
      <c r="G5" s="19">
        <v>270</v>
      </c>
      <c r="H5" s="19" t="s">
        <v>23</v>
      </c>
      <c r="I5" s="65" t="s">
        <v>28</v>
      </c>
      <c r="J5" s="65" t="s">
        <v>23</v>
      </c>
    </row>
    <row r="6" spans="1:10" x14ac:dyDescent="0.45">
      <c r="A6" s="19" t="s">
        <v>134</v>
      </c>
      <c r="B6" s="19" t="s">
        <v>25</v>
      </c>
      <c r="C6" s="66" t="s">
        <v>29</v>
      </c>
      <c r="D6" s="66" t="s">
        <v>25</v>
      </c>
      <c r="E6" s="13">
        <v>279</v>
      </c>
      <c r="F6" s="13" t="s">
        <v>25</v>
      </c>
      <c r="G6" s="19">
        <v>362</v>
      </c>
      <c r="H6" s="19" t="s">
        <v>25</v>
      </c>
      <c r="I6" s="65" t="s">
        <v>29</v>
      </c>
      <c r="J6" s="65" t="s">
        <v>25</v>
      </c>
    </row>
    <row r="7" spans="1:10" x14ac:dyDescent="0.45">
      <c r="A7" s="19">
        <v>61</v>
      </c>
      <c r="B7" s="19" t="s">
        <v>26</v>
      </c>
      <c r="C7" s="66">
        <v>73</v>
      </c>
      <c r="D7" s="66" t="s">
        <v>26</v>
      </c>
      <c r="E7" s="13">
        <v>32</v>
      </c>
      <c r="F7" s="13" t="s">
        <v>26</v>
      </c>
      <c r="G7" s="19">
        <v>41</v>
      </c>
      <c r="H7" s="19" t="s">
        <v>26</v>
      </c>
      <c r="I7" s="65">
        <v>54</v>
      </c>
      <c r="J7" s="65" t="s">
        <v>26</v>
      </c>
    </row>
    <row r="8" spans="1:10" x14ac:dyDescent="0.45">
      <c r="A8" s="19">
        <v>19.032</v>
      </c>
      <c r="B8" s="19" t="s">
        <v>27</v>
      </c>
      <c r="C8" s="66">
        <v>26.937000000000001</v>
      </c>
      <c r="D8" s="66" t="s">
        <v>27</v>
      </c>
      <c r="E8" s="13">
        <v>8.9280000000000008</v>
      </c>
      <c r="F8" s="13" t="s">
        <v>27</v>
      </c>
      <c r="G8" s="19">
        <v>14.118</v>
      </c>
      <c r="H8" s="19" t="s">
        <v>27</v>
      </c>
      <c r="I8" s="65">
        <v>19.925999999999998</v>
      </c>
      <c r="J8" s="65" t="s">
        <v>27</v>
      </c>
    </row>
    <row r="9" spans="1:10" x14ac:dyDescent="0.45">
      <c r="A9" s="19" t="s">
        <v>130</v>
      </c>
      <c r="B9" s="19" t="s">
        <v>19</v>
      </c>
      <c r="E9" s="13" t="s">
        <v>30</v>
      </c>
      <c r="F9" s="13" t="s">
        <v>22</v>
      </c>
      <c r="G9" s="19" t="s">
        <v>12</v>
      </c>
      <c r="H9" s="19" t="s">
        <v>22</v>
      </c>
      <c r="I9" s="65" t="s">
        <v>30</v>
      </c>
      <c r="J9" s="65" t="s">
        <v>22</v>
      </c>
    </row>
    <row r="10" spans="1:10" x14ac:dyDescent="0.45">
      <c r="A10" s="19" t="s">
        <v>131</v>
      </c>
      <c r="B10" s="19" t="s">
        <v>22</v>
      </c>
      <c r="E10" s="13" t="s">
        <v>31</v>
      </c>
      <c r="F10" s="13" t="s">
        <v>24</v>
      </c>
      <c r="G10" s="19" t="s">
        <v>13</v>
      </c>
      <c r="H10" s="19" t="s">
        <v>24</v>
      </c>
      <c r="I10" s="65" t="s">
        <v>31</v>
      </c>
      <c r="J10" s="65" t="s">
        <v>24</v>
      </c>
    </row>
    <row r="11" spans="1:10" x14ac:dyDescent="0.45">
      <c r="A11" s="19" t="s">
        <v>132</v>
      </c>
      <c r="B11" s="19" t="s">
        <v>24</v>
      </c>
      <c r="E11" s="13">
        <v>270</v>
      </c>
      <c r="F11" s="13" t="s">
        <v>23</v>
      </c>
      <c r="G11" s="19">
        <v>270</v>
      </c>
      <c r="H11" s="19" t="s">
        <v>23</v>
      </c>
      <c r="I11" s="65" t="s">
        <v>32</v>
      </c>
      <c r="J11" s="65" t="s">
        <v>23</v>
      </c>
    </row>
    <row r="12" spans="1:10" x14ac:dyDescent="0.45">
      <c r="A12" s="19">
        <v>270</v>
      </c>
      <c r="B12" s="19" t="s">
        <v>23</v>
      </c>
      <c r="E12" s="13">
        <v>376</v>
      </c>
      <c r="F12" s="13" t="s">
        <v>25</v>
      </c>
      <c r="G12" s="19">
        <v>279</v>
      </c>
      <c r="H12" s="19" t="s">
        <v>25</v>
      </c>
      <c r="I12" s="65">
        <v>362</v>
      </c>
      <c r="J12" s="65" t="s">
        <v>25</v>
      </c>
    </row>
    <row r="13" spans="1:10" x14ac:dyDescent="0.45">
      <c r="A13" s="19" t="s">
        <v>135</v>
      </c>
      <c r="B13" s="19" t="s">
        <v>25</v>
      </c>
      <c r="E13" s="13">
        <v>49</v>
      </c>
      <c r="F13" s="13" t="s">
        <v>26</v>
      </c>
      <c r="G13" s="19">
        <v>42</v>
      </c>
      <c r="H13" s="19" t="s">
        <v>26</v>
      </c>
      <c r="I13" s="65">
        <v>14</v>
      </c>
      <c r="J13" s="65" t="s">
        <v>26</v>
      </c>
    </row>
    <row r="14" spans="1:10" x14ac:dyDescent="0.45">
      <c r="A14" s="19">
        <v>18</v>
      </c>
      <c r="B14" s="19" t="s">
        <v>26</v>
      </c>
      <c r="E14" s="13">
        <v>17.738</v>
      </c>
      <c r="F14" s="13" t="s">
        <v>27</v>
      </c>
      <c r="G14" s="19">
        <v>11.718</v>
      </c>
      <c r="H14" s="19" t="s">
        <v>27</v>
      </c>
      <c r="I14" s="65">
        <v>5.0679999999999996</v>
      </c>
      <c r="J14" s="65" t="s">
        <v>27</v>
      </c>
    </row>
    <row r="15" spans="1:10" x14ac:dyDescent="0.45">
      <c r="A15" s="19">
        <v>5.49</v>
      </c>
      <c r="B15" s="19" t="s">
        <v>27</v>
      </c>
      <c r="E15" s="13" t="s">
        <v>8</v>
      </c>
      <c r="F15" s="13" t="s">
        <v>22</v>
      </c>
      <c r="I15" s="65" t="s">
        <v>30</v>
      </c>
      <c r="J15" s="65" t="s">
        <v>22</v>
      </c>
    </row>
    <row r="16" spans="1:10" x14ac:dyDescent="0.45">
      <c r="E16" s="13" t="s">
        <v>9</v>
      </c>
      <c r="F16" s="13" t="s">
        <v>24</v>
      </c>
      <c r="I16" s="65" t="s">
        <v>31</v>
      </c>
      <c r="J16" s="65" t="s">
        <v>24</v>
      </c>
    </row>
    <row r="17" spans="3:10" x14ac:dyDescent="0.45">
      <c r="C17" s="23"/>
      <c r="E17" s="13" t="s">
        <v>28</v>
      </c>
      <c r="F17" s="13" t="s">
        <v>23</v>
      </c>
      <c r="I17" s="65">
        <v>270</v>
      </c>
      <c r="J17" s="65" t="s">
        <v>23</v>
      </c>
    </row>
    <row r="18" spans="3:10" x14ac:dyDescent="0.45">
      <c r="E18" s="13" t="s">
        <v>29</v>
      </c>
      <c r="F18" s="13" t="s">
        <v>25</v>
      </c>
      <c r="I18" s="65">
        <v>376</v>
      </c>
      <c r="J18" s="65" t="s">
        <v>25</v>
      </c>
    </row>
    <row r="19" spans="3:10" x14ac:dyDescent="0.45">
      <c r="E19" s="13">
        <v>1</v>
      </c>
      <c r="F19" s="13" t="s">
        <v>26</v>
      </c>
      <c r="I19" s="65">
        <v>2</v>
      </c>
      <c r="J19" s="65" t="s">
        <v>26</v>
      </c>
    </row>
    <row r="20" spans="3:10" x14ac:dyDescent="0.45">
      <c r="E20" s="13">
        <v>0.36899999999999999</v>
      </c>
      <c r="F20" s="13" t="s">
        <v>27</v>
      </c>
      <c r="I20" s="65">
        <v>0.752</v>
      </c>
      <c r="J20" s="65" t="s">
        <v>27</v>
      </c>
    </row>
    <row r="22" spans="3:10" ht="16.3" thickBot="1" x14ac:dyDescent="0.5"/>
    <row r="23" spans="3:10" ht="20.149999999999999" customHeight="1" thickBot="1" x14ac:dyDescent="0.5">
      <c r="E23" s="93" t="s">
        <v>140</v>
      </c>
      <c r="F23" s="94"/>
      <c r="G23" s="94"/>
      <c r="H23" s="95"/>
      <c r="I23" s="99" t="s">
        <v>45</v>
      </c>
      <c r="J23" s="100"/>
    </row>
    <row r="24" spans="3:10" x14ac:dyDescent="0.45">
      <c r="E24" s="21" t="s">
        <v>28</v>
      </c>
      <c r="F24" s="22" t="s">
        <v>8</v>
      </c>
      <c r="G24" s="22">
        <v>47.231999999999999</v>
      </c>
      <c r="H24" s="22" t="s">
        <v>33</v>
      </c>
      <c r="I24" s="22" t="s">
        <v>8</v>
      </c>
      <c r="J24" s="17">
        <v>2946.8</v>
      </c>
    </row>
    <row r="25" spans="3:10" x14ac:dyDescent="0.45">
      <c r="E25" s="20" t="s">
        <v>34</v>
      </c>
      <c r="F25" s="4" t="s">
        <v>6</v>
      </c>
      <c r="G25" s="4">
        <f>SUM(I20+G8+E14)</f>
        <v>32.608000000000004</v>
      </c>
      <c r="H25" s="4" t="s">
        <v>33</v>
      </c>
      <c r="I25" s="17" t="s">
        <v>6</v>
      </c>
      <c r="J25" s="17">
        <v>2246</v>
      </c>
    </row>
    <row r="26" spans="3:10" x14ac:dyDescent="0.45">
      <c r="E26" s="20" t="s">
        <v>136</v>
      </c>
      <c r="F26" s="45" t="s">
        <v>137</v>
      </c>
      <c r="G26" s="50">
        <v>19.032</v>
      </c>
      <c r="H26" s="45" t="s">
        <v>33</v>
      </c>
      <c r="I26" s="45" t="s">
        <v>137</v>
      </c>
      <c r="J26" s="45">
        <v>1406</v>
      </c>
    </row>
    <row r="27" spans="3:10" x14ac:dyDescent="0.45">
      <c r="E27" s="20" t="s">
        <v>34</v>
      </c>
      <c r="F27" s="45" t="s">
        <v>137</v>
      </c>
      <c r="G27" s="50">
        <v>5.49</v>
      </c>
      <c r="H27" s="45" t="s">
        <v>138</v>
      </c>
      <c r="I27" s="45" t="s">
        <v>137</v>
      </c>
      <c r="J27" s="45">
        <v>450</v>
      </c>
    </row>
    <row r="28" spans="3:10" x14ac:dyDescent="0.45">
      <c r="E28" s="20" t="s">
        <v>34</v>
      </c>
      <c r="F28" s="4" t="s">
        <v>12</v>
      </c>
      <c r="G28" s="4">
        <f>SUM(G14+E8)</f>
        <v>20.646000000000001</v>
      </c>
      <c r="H28" s="4" t="s">
        <v>33</v>
      </c>
      <c r="I28" s="17" t="s">
        <v>12</v>
      </c>
      <c r="J28" s="17">
        <v>1845</v>
      </c>
    </row>
    <row r="29" spans="3:10" ht="16.3" thickBot="1" x14ac:dyDescent="0.5">
      <c r="E29" s="20" t="s">
        <v>35</v>
      </c>
      <c r="F29" s="4" t="s">
        <v>6</v>
      </c>
      <c r="G29" s="4">
        <f>SUM(I14)</f>
        <v>5.0679999999999996</v>
      </c>
      <c r="H29" s="4" t="s">
        <v>33</v>
      </c>
      <c r="I29" s="35" t="s">
        <v>6</v>
      </c>
      <c r="J29" s="35">
        <v>370</v>
      </c>
    </row>
    <row r="30" spans="3:10" ht="16.3" thickBot="1" x14ac:dyDescent="0.5">
      <c r="I30" s="37" t="s">
        <v>46</v>
      </c>
      <c r="J30" s="36">
        <f>SUM(J24:J29)</f>
        <v>9263.7999999999993</v>
      </c>
    </row>
    <row r="32" spans="3:10" x14ac:dyDescent="0.45">
      <c r="G32" s="24">
        <f>SUM(G24:G29)</f>
        <v>130.07599999999999</v>
      </c>
      <c r="H32" s="96" t="s">
        <v>36</v>
      </c>
      <c r="I32" s="96"/>
    </row>
  </sheetData>
  <mergeCells count="8">
    <mergeCell ref="E23:H23"/>
    <mergeCell ref="H32:I32"/>
    <mergeCell ref="E1:F1"/>
    <mergeCell ref="C1:D1"/>
    <mergeCell ref="A1:B1"/>
    <mergeCell ref="I1:J1"/>
    <mergeCell ref="G1:H1"/>
    <mergeCell ref="I23:J23"/>
  </mergeCells>
  <printOptions horizontalCentered="1"/>
  <pageMargins left="0" right="0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A4" workbookViewId="0">
      <selection activeCell="G10" sqref="G10"/>
    </sheetView>
  </sheetViews>
  <sheetFormatPr defaultRowHeight="15.9" x14ac:dyDescent="0.45"/>
  <cols>
    <col min="1" max="2" width="9.06640625" style="1"/>
    <col min="3" max="3" width="9.06640625" style="2"/>
    <col min="4" max="4" width="9.06640625" style="73"/>
    <col min="5" max="5" width="12.53125" style="6" customWidth="1"/>
    <col min="6" max="6" width="12.73046875" style="6" customWidth="1"/>
    <col min="7" max="7" width="15.59765625" style="6" customWidth="1"/>
    <col min="8" max="8" width="18.6640625" style="1" customWidth="1"/>
    <col min="9" max="9" width="8.3984375" style="6" customWidth="1"/>
    <col min="10" max="10" width="5.53125" style="1" customWidth="1"/>
    <col min="11" max="11" width="4.73046875" style="38" customWidth="1"/>
    <col min="12" max="16384" width="9.06640625" style="1"/>
  </cols>
  <sheetData>
    <row r="1" spans="1:11" ht="20.149999999999999" customHeight="1" x14ac:dyDescent="0.45">
      <c r="A1" s="106" t="s">
        <v>62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 x14ac:dyDescent="0.4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35.15" customHeight="1" thickBot="1" x14ac:dyDescent="0.5">
      <c r="A3" s="75" t="s">
        <v>63</v>
      </c>
      <c r="B3" s="112" t="s">
        <v>57</v>
      </c>
      <c r="C3" s="113"/>
      <c r="D3" s="83" t="s">
        <v>153</v>
      </c>
      <c r="E3" s="76" t="s">
        <v>46</v>
      </c>
      <c r="F3" s="76" t="s">
        <v>51</v>
      </c>
      <c r="G3" s="76" t="s">
        <v>50</v>
      </c>
      <c r="H3" s="76" t="s">
        <v>49</v>
      </c>
      <c r="I3" s="76" t="s">
        <v>48</v>
      </c>
      <c r="J3" s="84" t="s">
        <v>47</v>
      </c>
      <c r="K3" s="85" t="s">
        <v>52</v>
      </c>
    </row>
    <row r="4" spans="1:11" ht="20.05" customHeight="1" thickTop="1" thickBot="1" x14ac:dyDescent="0.5">
      <c r="A4" s="107"/>
      <c r="B4" s="77"/>
      <c r="C4" s="78" t="s">
        <v>58</v>
      </c>
      <c r="D4" s="101"/>
      <c r="E4" s="79"/>
      <c r="F4" s="79" t="s">
        <v>53</v>
      </c>
      <c r="G4" s="79" t="s">
        <v>8</v>
      </c>
      <c r="H4" s="114" t="s">
        <v>147</v>
      </c>
      <c r="I4" s="117" t="s">
        <v>154</v>
      </c>
      <c r="J4" s="110">
        <v>1405</v>
      </c>
      <c r="K4" s="104">
        <v>12</v>
      </c>
    </row>
    <row r="5" spans="1:11" ht="20.05" customHeight="1" thickTop="1" thickBot="1" x14ac:dyDescent="0.5">
      <c r="A5" s="108"/>
      <c r="B5" s="3"/>
      <c r="C5" s="71" t="s">
        <v>59</v>
      </c>
      <c r="D5" s="102"/>
      <c r="E5" s="72"/>
      <c r="F5" s="72" t="s">
        <v>54</v>
      </c>
      <c r="G5" s="72" t="s">
        <v>6</v>
      </c>
      <c r="H5" s="115"/>
      <c r="I5" s="117"/>
      <c r="J5" s="111"/>
      <c r="K5" s="105"/>
    </row>
    <row r="6" spans="1:11" ht="20.05" customHeight="1" thickTop="1" thickBot="1" x14ac:dyDescent="0.5">
      <c r="A6" s="108"/>
      <c r="B6" s="3"/>
      <c r="C6" s="71" t="s">
        <v>60</v>
      </c>
      <c r="D6" s="102"/>
      <c r="E6" s="72"/>
      <c r="F6" s="72" t="s">
        <v>55</v>
      </c>
      <c r="G6" s="72" t="s">
        <v>6</v>
      </c>
      <c r="H6" s="115"/>
      <c r="I6" s="117"/>
      <c r="J6" s="111"/>
      <c r="K6" s="105"/>
    </row>
    <row r="7" spans="1:11" ht="20.05" customHeight="1" thickTop="1" thickBot="1" x14ac:dyDescent="0.5">
      <c r="A7" s="108"/>
      <c r="B7" s="3"/>
      <c r="C7" s="71" t="s">
        <v>61</v>
      </c>
      <c r="D7" s="102"/>
      <c r="E7" s="72"/>
      <c r="F7" s="72" t="s">
        <v>56</v>
      </c>
      <c r="G7" s="72" t="s">
        <v>12</v>
      </c>
      <c r="H7" s="115"/>
      <c r="I7" s="117"/>
      <c r="J7" s="111"/>
      <c r="K7" s="105"/>
    </row>
    <row r="8" spans="1:11" ht="20.05" customHeight="1" thickTop="1" thickBot="1" x14ac:dyDescent="0.5">
      <c r="A8" s="108"/>
      <c r="B8" s="3"/>
      <c r="C8" s="71" t="s">
        <v>151</v>
      </c>
      <c r="D8" s="102"/>
      <c r="E8" s="72"/>
      <c r="F8" s="72" t="s">
        <v>53</v>
      </c>
      <c r="G8" s="72" t="s">
        <v>137</v>
      </c>
      <c r="H8" s="115"/>
      <c r="I8" s="117"/>
      <c r="J8" s="111"/>
      <c r="K8" s="105"/>
    </row>
    <row r="9" spans="1:11" ht="20.05" customHeight="1" thickTop="1" thickBot="1" x14ac:dyDescent="0.5">
      <c r="A9" s="109"/>
      <c r="B9" s="80"/>
      <c r="C9" s="81" t="s">
        <v>152</v>
      </c>
      <c r="D9" s="103"/>
      <c r="E9" s="82"/>
      <c r="F9" s="82" t="s">
        <v>54</v>
      </c>
      <c r="G9" s="82" t="s">
        <v>137</v>
      </c>
      <c r="H9" s="116"/>
      <c r="I9" s="117"/>
      <c r="J9" s="111"/>
      <c r="K9" s="105"/>
    </row>
    <row r="10" spans="1:11" ht="20.05" customHeight="1" thickTop="1" thickBot="1" x14ac:dyDescent="0.5">
      <c r="A10" s="107"/>
      <c r="B10" s="77"/>
      <c r="C10" s="78" t="s">
        <v>58</v>
      </c>
      <c r="D10" s="101"/>
      <c r="E10" s="79"/>
      <c r="F10" s="79" t="s">
        <v>53</v>
      </c>
      <c r="G10" s="79" t="s">
        <v>8</v>
      </c>
      <c r="H10" s="114" t="s">
        <v>148</v>
      </c>
      <c r="I10" s="117"/>
      <c r="J10" s="111"/>
      <c r="K10" s="105"/>
    </row>
    <row r="11" spans="1:11" ht="20.05" customHeight="1" thickTop="1" thickBot="1" x14ac:dyDescent="0.5">
      <c r="A11" s="108"/>
      <c r="B11" s="3"/>
      <c r="C11" s="71" t="s">
        <v>59</v>
      </c>
      <c r="D11" s="102"/>
      <c r="E11" s="72"/>
      <c r="F11" s="72" t="s">
        <v>54</v>
      </c>
      <c r="G11" s="72" t="s">
        <v>6</v>
      </c>
      <c r="H11" s="115"/>
      <c r="I11" s="117"/>
      <c r="J11" s="111"/>
      <c r="K11" s="105"/>
    </row>
    <row r="12" spans="1:11" ht="20.05" customHeight="1" thickTop="1" thickBot="1" x14ac:dyDescent="0.5">
      <c r="A12" s="108"/>
      <c r="B12" s="3"/>
      <c r="C12" s="71" t="s">
        <v>60</v>
      </c>
      <c r="D12" s="102"/>
      <c r="E12" s="72"/>
      <c r="F12" s="72" t="s">
        <v>55</v>
      </c>
      <c r="G12" s="72" t="s">
        <v>6</v>
      </c>
      <c r="H12" s="115"/>
      <c r="I12" s="117"/>
      <c r="J12" s="111"/>
      <c r="K12" s="105"/>
    </row>
    <row r="13" spans="1:11" ht="20.05" customHeight="1" thickTop="1" thickBot="1" x14ac:dyDescent="0.5">
      <c r="A13" s="108"/>
      <c r="B13" s="3"/>
      <c r="C13" s="71" t="s">
        <v>61</v>
      </c>
      <c r="D13" s="102"/>
      <c r="E13" s="72"/>
      <c r="F13" s="72" t="s">
        <v>56</v>
      </c>
      <c r="G13" s="72" t="s">
        <v>12</v>
      </c>
      <c r="H13" s="115"/>
      <c r="I13" s="117"/>
      <c r="J13" s="111"/>
      <c r="K13" s="105"/>
    </row>
    <row r="14" spans="1:11" ht="20.05" customHeight="1" thickTop="1" thickBot="1" x14ac:dyDescent="0.5">
      <c r="A14" s="108"/>
      <c r="B14" s="3"/>
      <c r="C14" s="71" t="s">
        <v>151</v>
      </c>
      <c r="D14" s="102"/>
      <c r="E14" s="72"/>
      <c r="F14" s="72" t="s">
        <v>53</v>
      </c>
      <c r="G14" s="72" t="s">
        <v>137</v>
      </c>
      <c r="H14" s="115"/>
      <c r="I14" s="117"/>
      <c r="J14" s="111"/>
      <c r="K14" s="105"/>
    </row>
    <row r="15" spans="1:11" ht="20.05" customHeight="1" thickTop="1" thickBot="1" x14ac:dyDescent="0.5">
      <c r="A15" s="109"/>
      <c r="B15" s="80"/>
      <c r="C15" s="81" t="s">
        <v>152</v>
      </c>
      <c r="D15" s="103"/>
      <c r="E15" s="82"/>
      <c r="F15" s="82" t="s">
        <v>54</v>
      </c>
      <c r="G15" s="82" t="s">
        <v>137</v>
      </c>
      <c r="H15" s="116"/>
      <c r="I15" s="117"/>
      <c r="J15" s="111"/>
      <c r="K15" s="105"/>
    </row>
    <row r="16" spans="1:11" ht="20.05" customHeight="1" thickTop="1" thickBot="1" x14ac:dyDescent="0.5">
      <c r="A16" s="107"/>
      <c r="B16" s="77"/>
      <c r="C16" s="78" t="s">
        <v>58</v>
      </c>
      <c r="D16" s="101"/>
      <c r="E16" s="79"/>
      <c r="F16" s="79" t="s">
        <v>53</v>
      </c>
      <c r="G16" s="79" t="s">
        <v>8</v>
      </c>
      <c r="H16" s="114" t="s">
        <v>149</v>
      </c>
      <c r="I16" s="117"/>
      <c r="J16" s="111"/>
      <c r="K16" s="105"/>
    </row>
    <row r="17" spans="1:11" ht="20.05" customHeight="1" thickTop="1" thickBot="1" x14ac:dyDescent="0.5">
      <c r="A17" s="108"/>
      <c r="B17" s="3"/>
      <c r="C17" s="71" t="s">
        <v>59</v>
      </c>
      <c r="D17" s="102"/>
      <c r="E17" s="72"/>
      <c r="F17" s="72" t="s">
        <v>54</v>
      </c>
      <c r="G17" s="72" t="s">
        <v>6</v>
      </c>
      <c r="H17" s="115"/>
      <c r="I17" s="117"/>
      <c r="J17" s="111"/>
      <c r="K17" s="105"/>
    </row>
    <row r="18" spans="1:11" ht="20.05" customHeight="1" thickTop="1" thickBot="1" x14ac:dyDescent="0.5">
      <c r="A18" s="108"/>
      <c r="B18" s="3"/>
      <c r="C18" s="71" t="s">
        <v>60</v>
      </c>
      <c r="D18" s="102"/>
      <c r="E18" s="72"/>
      <c r="F18" s="72" t="s">
        <v>55</v>
      </c>
      <c r="G18" s="72" t="s">
        <v>6</v>
      </c>
      <c r="H18" s="115"/>
      <c r="I18" s="117"/>
      <c r="J18" s="111"/>
      <c r="K18" s="105"/>
    </row>
    <row r="19" spans="1:11" ht="20.05" customHeight="1" thickTop="1" thickBot="1" x14ac:dyDescent="0.5">
      <c r="A19" s="108"/>
      <c r="B19" s="3"/>
      <c r="C19" s="71" t="s">
        <v>61</v>
      </c>
      <c r="D19" s="102"/>
      <c r="E19" s="72"/>
      <c r="F19" s="72" t="s">
        <v>56</v>
      </c>
      <c r="G19" s="72" t="s">
        <v>12</v>
      </c>
      <c r="H19" s="115"/>
      <c r="I19" s="117"/>
      <c r="J19" s="111"/>
      <c r="K19" s="105"/>
    </row>
    <row r="20" spans="1:11" ht="20.05" customHeight="1" thickTop="1" thickBot="1" x14ac:dyDescent="0.5">
      <c r="A20" s="108"/>
      <c r="B20" s="3"/>
      <c r="C20" s="71" t="s">
        <v>151</v>
      </c>
      <c r="D20" s="102"/>
      <c r="E20" s="72"/>
      <c r="F20" s="72" t="s">
        <v>53</v>
      </c>
      <c r="G20" s="72" t="s">
        <v>137</v>
      </c>
      <c r="H20" s="115"/>
      <c r="I20" s="117"/>
      <c r="J20" s="111"/>
      <c r="K20" s="105"/>
    </row>
    <row r="21" spans="1:11" ht="20.05" customHeight="1" thickTop="1" thickBot="1" x14ac:dyDescent="0.5">
      <c r="A21" s="109"/>
      <c r="B21" s="80"/>
      <c r="C21" s="81" t="s">
        <v>152</v>
      </c>
      <c r="D21" s="103"/>
      <c r="E21" s="82"/>
      <c r="F21" s="82" t="s">
        <v>54</v>
      </c>
      <c r="G21" s="82" t="s">
        <v>137</v>
      </c>
      <c r="H21" s="116"/>
      <c r="I21" s="117"/>
      <c r="J21" s="111"/>
      <c r="K21" s="105"/>
    </row>
    <row r="22" spans="1:11" ht="20.05" customHeight="1" thickTop="1" thickBot="1" x14ac:dyDescent="0.5">
      <c r="A22" s="107"/>
      <c r="B22" s="77"/>
      <c r="C22" s="78" t="s">
        <v>58</v>
      </c>
      <c r="D22" s="101"/>
      <c r="E22" s="79"/>
      <c r="F22" s="79" t="s">
        <v>53</v>
      </c>
      <c r="G22" s="79" t="s">
        <v>8</v>
      </c>
      <c r="H22" s="114" t="s">
        <v>150</v>
      </c>
      <c r="I22" s="117"/>
      <c r="J22" s="111"/>
      <c r="K22" s="105"/>
    </row>
    <row r="23" spans="1:11" ht="20.05" customHeight="1" thickTop="1" thickBot="1" x14ac:dyDescent="0.5">
      <c r="A23" s="108"/>
      <c r="B23" s="3"/>
      <c r="C23" s="71" t="s">
        <v>59</v>
      </c>
      <c r="D23" s="102"/>
      <c r="E23" s="72"/>
      <c r="F23" s="72" t="s">
        <v>54</v>
      </c>
      <c r="G23" s="72" t="s">
        <v>6</v>
      </c>
      <c r="H23" s="115"/>
      <c r="I23" s="117"/>
      <c r="J23" s="111"/>
      <c r="K23" s="105"/>
    </row>
    <row r="24" spans="1:11" ht="20.05" customHeight="1" thickTop="1" thickBot="1" x14ac:dyDescent="0.5">
      <c r="A24" s="108"/>
      <c r="B24" s="3"/>
      <c r="C24" s="71" t="s">
        <v>60</v>
      </c>
      <c r="D24" s="102"/>
      <c r="E24" s="72"/>
      <c r="F24" s="72" t="s">
        <v>55</v>
      </c>
      <c r="G24" s="72" t="s">
        <v>6</v>
      </c>
      <c r="H24" s="115"/>
      <c r="I24" s="117"/>
      <c r="J24" s="111"/>
      <c r="K24" s="105"/>
    </row>
    <row r="25" spans="1:11" ht="20.05" customHeight="1" thickTop="1" thickBot="1" x14ac:dyDescent="0.5">
      <c r="A25" s="108"/>
      <c r="B25" s="3"/>
      <c r="C25" s="71" t="s">
        <v>61</v>
      </c>
      <c r="D25" s="102"/>
      <c r="E25" s="72"/>
      <c r="F25" s="72" t="s">
        <v>56</v>
      </c>
      <c r="G25" s="72" t="s">
        <v>12</v>
      </c>
      <c r="H25" s="115"/>
      <c r="I25" s="117"/>
      <c r="J25" s="111"/>
      <c r="K25" s="105"/>
    </row>
    <row r="26" spans="1:11" ht="20.05" customHeight="1" thickTop="1" thickBot="1" x14ac:dyDescent="0.5">
      <c r="A26" s="108"/>
      <c r="B26" s="3"/>
      <c r="C26" s="71" t="s">
        <v>151</v>
      </c>
      <c r="D26" s="102"/>
      <c r="E26" s="72"/>
      <c r="F26" s="72" t="s">
        <v>53</v>
      </c>
      <c r="G26" s="72" t="s">
        <v>137</v>
      </c>
      <c r="H26" s="115"/>
      <c r="I26" s="117"/>
      <c r="J26" s="111"/>
      <c r="K26" s="105"/>
    </row>
    <row r="27" spans="1:11" ht="20.05" customHeight="1" thickTop="1" thickBot="1" x14ac:dyDescent="0.5">
      <c r="A27" s="109"/>
      <c r="B27" s="80"/>
      <c r="C27" s="81" t="s">
        <v>152</v>
      </c>
      <c r="D27" s="103"/>
      <c r="E27" s="82"/>
      <c r="F27" s="82" t="s">
        <v>54</v>
      </c>
      <c r="G27" s="82" t="s">
        <v>137</v>
      </c>
      <c r="H27" s="116"/>
      <c r="I27" s="117"/>
      <c r="J27" s="111"/>
      <c r="K27" s="105"/>
    </row>
    <row r="28" spans="1:11" ht="16.3" thickTop="1" x14ac:dyDescent="0.45"/>
  </sheetData>
  <mergeCells count="17">
    <mergeCell ref="A1:K2"/>
    <mergeCell ref="A4:A9"/>
    <mergeCell ref="A10:A15"/>
    <mergeCell ref="A16:A21"/>
    <mergeCell ref="A22:A27"/>
    <mergeCell ref="J4:J27"/>
    <mergeCell ref="B3:C3"/>
    <mergeCell ref="H4:H9"/>
    <mergeCell ref="H10:H15"/>
    <mergeCell ref="H16:H21"/>
    <mergeCell ref="H22:H27"/>
    <mergeCell ref="I4:I27"/>
    <mergeCell ref="D4:D9"/>
    <mergeCell ref="D10:D15"/>
    <mergeCell ref="D16:D21"/>
    <mergeCell ref="D22:D27"/>
    <mergeCell ref="K4:K27"/>
  </mergeCells>
  <printOptions horizontalCentered="1" verticalCentered="1"/>
  <pageMargins left="0" right="0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opLeftCell="B1" workbookViewId="0">
      <pane ySplit="3" topLeftCell="A13" activePane="bottomLeft" state="frozen"/>
      <selection pane="bottomLeft" activeCell="O14" sqref="O14"/>
    </sheetView>
  </sheetViews>
  <sheetFormatPr defaultRowHeight="15.9" x14ac:dyDescent="0.45"/>
  <cols>
    <col min="1" max="1" width="11.19921875" style="1" customWidth="1"/>
    <col min="2" max="2" width="7.265625" style="1" customWidth="1"/>
    <col min="3" max="3" width="7.3984375" style="1" customWidth="1"/>
    <col min="4" max="5" width="5.46484375" style="1" customWidth="1"/>
    <col min="6" max="6" width="7.46484375" style="1" customWidth="1"/>
    <col min="7" max="7" width="7.53125" style="1" customWidth="1"/>
    <col min="8" max="8" width="5.46484375" style="1" customWidth="1"/>
    <col min="9" max="9" width="9.06640625" style="1"/>
    <col min="10" max="10" width="4.796875" style="1" customWidth="1"/>
    <col min="11" max="11" width="10.73046875" style="1" customWidth="1"/>
    <col min="12" max="12" width="5.33203125" style="1" customWidth="1"/>
    <col min="13" max="16384" width="9.06640625" style="1"/>
  </cols>
  <sheetData>
    <row r="1" spans="1:17" x14ac:dyDescent="0.45">
      <c r="A1" s="118" t="s">
        <v>65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</row>
    <row r="2" spans="1:17" x14ac:dyDescent="0.4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1:17" ht="29.15" customHeight="1" x14ac:dyDescent="0.45">
      <c r="A3" s="42" t="s">
        <v>71</v>
      </c>
      <c r="B3" s="42" t="s">
        <v>70</v>
      </c>
      <c r="C3" s="42" t="s">
        <v>69</v>
      </c>
      <c r="D3" s="42" t="s">
        <v>77</v>
      </c>
      <c r="E3" s="42" t="s">
        <v>155</v>
      </c>
      <c r="F3" s="42" t="s">
        <v>67</v>
      </c>
      <c r="G3" s="42" t="s">
        <v>66</v>
      </c>
      <c r="H3" s="42" t="s">
        <v>78</v>
      </c>
      <c r="I3" s="42" t="s">
        <v>68</v>
      </c>
      <c r="J3" s="42" t="s">
        <v>74</v>
      </c>
      <c r="K3" s="42" t="s">
        <v>72</v>
      </c>
      <c r="L3" s="42" t="s">
        <v>75</v>
      </c>
    </row>
    <row r="4" spans="1:17" ht="25" customHeight="1" x14ac:dyDescent="0.45">
      <c r="A4" s="6" t="s">
        <v>80</v>
      </c>
      <c r="B4" s="6"/>
      <c r="C4" s="6">
        <v>664</v>
      </c>
      <c r="D4" s="6" t="s">
        <v>83</v>
      </c>
      <c r="E4" s="74"/>
      <c r="F4" s="6">
        <v>7400</v>
      </c>
      <c r="G4" s="6">
        <v>473600</v>
      </c>
      <c r="H4" s="6" t="s">
        <v>79</v>
      </c>
      <c r="I4" s="6">
        <v>345</v>
      </c>
      <c r="J4" s="6">
        <v>5</v>
      </c>
      <c r="K4" s="6" t="s">
        <v>73</v>
      </c>
      <c r="L4" s="6" t="s">
        <v>76</v>
      </c>
    </row>
    <row r="5" spans="1:17" ht="25" customHeight="1" x14ac:dyDescent="0.45">
      <c r="A5" s="6" t="s">
        <v>85</v>
      </c>
      <c r="B5" s="6"/>
      <c r="C5" s="6">
        <v>665</v>
      </c>
      <c r="D5" s="6" t="s">
        <v>84</v>
      </c>
      <c r="E5" s="74"/>
      <c r="F5" s="6">
        <v>3258</v>
      </c>
      <c r="G5" s="6">
        <v>208512</v>
      </c>
      <c r="H5" s="6" t="s">
        <v>82</v>
      </c>
      <c r="I5" s="6">
        <v>149.80000000000001</v>
      </c>
      <c r="J5" s="6">
        <v>2.1720000000000002</v>
      </c>
      <c r="K5" s="6" t="s">
        <v>73</v>
      </c>
      <c r="L5" s="6" t="s">
        <v>81</v>
      </c>
    </row>
    <row r="6" spans="1:17" ht="25" customHeight="1" x14ac:dyDescent="0.45">
      <c r="A6" s="6" t="s">
        <v>88</v>
      </c>
      <c r="B6" s="6"/>
      <c r="C6" s="6"/>
      <c r="D6" s="6">
        <v>0</v>
      </c>
      <c r="E6" s="74"/>
      <c r="F6" s="6">
        <v>385</v>
      </c>
      <c r="G6" s="6">
        <v>24500</v>
      </c>
      <c r="H6" s="6"/>
      <c r="I6" s="6">
        <v>25</v>
      </c>
      <c r="J6" s="43">
        <v>0</v>
      </c>
      <c r="K6" s="6" t="s">
        <v>86</v>
      </c>
      <c r="L6" s="6" t="s">
        <v>87</v>
      </c>
      <c r="O6" s="118" t="s">
        <v>156</v>
      </c>
      <c r="P6" s="118"/>
    </row>
    <row r="7" spans="1:17" ht="25" customHeight="1" x14ac:dyDescent="0.45">
      <c r="A7" s="6"/>
      <c r="B7" s="119" t="s">
        <v>90</v>
      </c>
      <c r="C7" s="119"/>
      <c r="D7" s="6"/>
      <c r="E7" s="74"/>
      <c r="F7" s="6"/>
      <c r="G7" s="6">
        <v>24000</v>
      </c>
      <c r="H7" s="6"/>
      <c r="I7" s="6">
        <v>20</v>
      </c>
      <c r="J7" s="43">
        <v>0</v>
      </c>
      <c r="K7" s="6" t="s">
        <v>89</v>
      </c>
      <c r="L7" s="6" t="s">
        <v>91</v>
      </c>
      <c r="M7" s="1">
        <v>12500</v>
      </c>
      <c r="N7" s="1" t="s">
        <v>92</v>
      </c>
      <c r="O7" s="118" t="s">
        <v>158</v>
      </c>
      <c r="P7" s="118"/>
      <c r="Q7" s="1" t="s">
        <v>159</v>
      </c>
    </row>
    <row r="8" spans="1:17" ht="25" customHeight="1" x14ac:dyDescent="0.45">
      <c r="A8" s="6" t="s">
        <v>141</v>
      </c>
      <c r="B8" s="6"/>
      <c r="C8" s="6">
        <v>681</v>
      </c>
      <c r="D8" s="6">
        <v>6000</v>
      </c>
      <c r="E8" s="74"/>
      <c r="F8" s="6">
        <v>6000</v>
      </c>
      <c r="G8" s="6"/>
      <c r="H8" s="6">
        <v>1500</v>
      </c>
      <c r="I8" s="6">
        <v>276</v>
      </c>
      <c r="J8" s="6">
        <v>4</v>
      </c>
      <c r="K8" s="67" t="s">
        <v>73</v>
      </c>
      <c r="L8" s="6" t="s">
        <v>76</v>
      </c>
      <c r="M8" s="1">
        <v>2500</v>
      </c>
      <c r="N8" s="1" t="s">
        <v>92</v>
      </c>
      <c r="O8" s="120"/>
      <c r="P8" s="120"/>
    </row>
    <row r="9" spans="1:17" ht="25" customHeight="1" x14ac:dyDescent="0.45">
      <c r="A9" s="6" t="s">
        <v>142</v>
      </c>
      <c r="B9" s="6"/>
      <c r="C9" s="6">
        <v>682</v>
      </c>
      <c r="D9" s="86">
        <v>0</v>
      </c>
      <c r="E9" s="69"/>
      <c r="F9" s="6">
        <v>1500</v>
      </c>
      <c r="G9" s="6"/>
      <c r="H9" s="6">
        <v>1500</v>
      </c>
      <c r="I9" s="6">
        <v>89.6</v>
      </c>
      <c r="J9" s="6">
        <v>1</v>
      </c>
      <c r="K9" s="67" t="s">
        <v>86</v>
      </c>
      <c r="L9" s="6" t="s">
        <v>76</v>
      </c>
      <c r="M9" s="1">
        <v>9000</v>
      </c>
      <c r="N9" s="1" t="s">
        <v>92</v>
      </c>
    </row>
    <row r="10" spans="1:17" ht="25" customHeight="1" x14ac:dyDescent="0.45">
      <c r="A10" s="67" t="s">
        <v>142</v>
      </c>
      <c r="C10" s="1">
        <v>682</v>
      </c>
      <c r="D10" s="70"/>
      <c r="E10" s="70"/>
      <c r="F10" s="1">
        <v>3000</v>
      </c>
      <c r="H10" s="1">
        <v>1500</v>
      </c>
      <c r="I10" s="1">
        <v>62.3</v>
      </c>
      <c r="J10" s="1">
        <v>2</v>
      </c>
      <c r="K10" s="67" t="s">
        <v>89</v>
      </c>
      <c r="L10" s="1" t="s">
        <v>76</v>
      </c>
      <c r="M10" s="1">
        <v>9000</v>
      </c>
      <c r="N10" s="1" t="s">
        <v>92</v>
      </c>
    </row>
    <row r="11" spans="1:17" ht="25" customHeight="1" x14ac:dyDescent="0.45">
      <c r="A11" s="1" t="s">
        <v>144</v>
      </c>
      <c r="C11" s="1">
        <v>675</v>
      </c>
      <c r="F11" s="1">
        <v>65.209999999999994</v>
      </c>
      <c r="G11" s="118">
        <v>12140</v>
      </c>
      <c r="I11" s="1">
        <v>3</v>
      </c>
      <c r="K11" s="67" t="s">
        <v>73</v>
      </c>
      <c r="L11" s="1" t="s">
        <v>143</v>
      </c>
    </row>
    <row r="12" spans="1:17" ht="25" customHeight="1" x14ac:dyDescent="0.45">
      <c r="A12" s="1" t="s">
        <v>144</v>
      </c>
      <c r="C12" s="1">
        <v>675</v>
      </c>
      <c r="F12" s="1">
        <v>72.3</v>
      </c>
      <c r="G12" s="118"/>
      <c r="I12" s="1">
        <v>3</v>
      </c>
      <c r="K12" s="67" t="s">
        <v>89</v>
      </c>
      <c r="L12" s="1" t="s">
        <v>143</v>
      </c>
    </row>
    <row r="13" spans="1:17" x14ac:dyDescent="0.45">
      <c r="A13" s="1" t="s">
        <v>144</v>
      </c>
      <c r="C13" s="1">
        <v>675</v>
      </c>
      <c r="F13" s="1">
        <v>50.16</v>
      </c>
      <c r="G13" s="118"/>
      <c r="I13" s="1">
        <v>3</v>
      </c>
      <c r="K13" s="67" t="s">
        <v>86</v>
      </c>
      <c r="L13" s="1" t="s">
        <v>143</v>
      </c>
    </row>
    <row r="14" spans="1:17" x14ac:dyDescent="0.45">
      <c r="A14" s="1" t="s">
        <v>146</v>
      </c>
      <c r="H14" s="1">
        <v>1500</v>
      </c>
      <c r="I14" s="1">
        <v>69</v>
      </c>
      <c r="J14" s="1">
        <v>1</v>
      </c>
      <c r="K14" s="68" t="s">
        <v>73</v>
      </c>
      <c r="L14" s="1" t="s">
        <v>145</v>
      </c>
    </row>
    <row r="15" spans="1:17" x14ac:dyDescent="0.45">
      <c r="I15" s="1" t="s">
        <v>163</v>
      </c>
      <c r="J15" s="87" t="s">
        <v>162</v>
      </c>
      <c r="K15" s="1" t="s">
        <v>89</v>
      </c>
      <c r="L15" s="1" t="s">
        <v>161</v>
      </c>
    </row>
  </sheetData>
  <mergeCells count="6">
    <mergeCell ref="A1:L2"/>
    <mergeCell ref="B7:C7"/>
    <mergeCell ref="G11:G13"/>
    <mergeCell ref="O6:P6"/>
    <mergeCell ref="O7:P7"/>
    <mergeCell ref="O8:P8"/>
  </mergeCells>
  <printOptions horizontalCentered="1" verticalCentered="1"/>
  <pageMargins left="0" right="0" top="0.35433070866141736" bottom="0.15748031496062992" header="0.31496062992125984" footer="0.31496062992125984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60" zoomScaleNormal="60" workbookViewId="0">
      <selection activeCell="Q7" sqref="Q7"/>
    </sheetView>
  </sheetViews>
  <sheetFormatPr defaultRowHeight="15.9" x14ac:dyDescent="0.45"/>
  <cols>
    <col min="1" max="1" width="3.46484375" style="46" customWidth="1"/>
    <col min="2" max="2" width="13.9296875" style="44" customWidth="1"/>
    <col min="3" max="3" width="11.3984375" style="44" customWidth="1"/>
    <col min="4" max="5" width="9.06640625" style="44"/>
    <col min="6" max="6" width="10.46484375" style="44" customWidth="1"/>
    <col min="7" max="7" width="11.06640625" style="41" customWidth="1"/>
    <col min="8" max="16384" width="9.06640625" style="1"/>
  </cols>
  <sheetData>
    <row r="1" spans="1:7" ht="15.9" customHeight="1" x14ac:dyDescent="0.45">
      <c r="A1" s="124" t="s">
        <v>99</v>
      </c>
      <c r="B1" s="124"/>
      <c r="C1" s="124"/>
      <c r="D1" s="124"/>
      <c r="E1" s="124"/>
      <c r="F1" s="124"/>
      <c r="G1" s="124"/>
    </row>
    <row r="2" spans="1:7" ht="15.9" customHeight="1" x14ac:dyDescent="0.45">
      <c r="A2" s="124"/>
      <c r="B2" s="124"/>
      <c r="C2" s="124"/>
      <c r="D2" s="124"/>
      <c r="E2" s="124"/>
      <c r="F2" s="124"/>
      <c r="G2" s="124"/>
    </row>
    <row r="3" spans="1:7" ht="31.3" customHeight="1" x14ac:dyDescent="0.45">
      <c r="A3" s="9" t="s">
        <v>93</v>
      </c>
      <c r="B3" s="39" t="s">
        <v>94</v>
      </c>
      <c r="C3" s="39" t="s">
        <v>95</v>
      </c>
      <c r="D3" s="39" t="s">
        <v>3</v>
      </c>
      <c r="E3" s="39" t="s">
        <v>98</v>
      </c>
      <c r="F3" s="39" t="s">
        <v>96</v>
      </c>
      <c r="G3" s="48" t="s">
        <v>106</v>
      </c>
    </row>
    <row r="4" spans="1:7" ht="30" customHeight="1" x14ac:dyDescent="0.45">
      <c r="A4" s="121">
        <v>1</v>
      </c>
      <c r="B4" s="40" t="s">
        <v>107</v>
      </c>
      <c r="C4" s="40" t="s">
        <v>112</v>
      </c>
      <c r="D4" s="40" t="s">
        <v>56</v>
      </c>
      <c r="E4" s="40" t="s">
        <v>123</v>
      </c>
      <c r="F4" s="125" t="s">
        <v>97</v>
      </c>
      <c r="G4" s="125" t="s">
        <v>117</v>
      </c>
    </row>
    <row r="5" spans="1:7" ht="30" customHeight="1" x14ac:dyDescent="0.45">
      <c r="A5" s="121"/>
      <c r="B5" s="40" t="s">
        <v>107</v>
      </c>
      <c r="C5" s="40" t="s">
        <v>112</v>
      </c>
      <c r="D5" s="40" t="s">
        <v>100</v>
      </c>
      <c r="E5" s="40" t="s">
        <v>123</v>
      </c>
      <c r="F5" s="125"/>
      <c r="G5" s="125"/>
    </row>
    <row r="6" spans="1:7" ht="30" customHeight="1" x14ac:dyDescent="0.45">
      <c r="A6" s="121">
        <v>2</v>
      </c>
      <c r="B6" s="40" t="s">
        <v>108</v>
      </c>
      <c r="C6" s="40" t="s">
        <v>113</v>
      </c>
      <c r="D6" s="40" t="s">
        <v>56</v>
      </c>
      <c r="E6" s="40" t="s">
        <v>129</v>
      </c>
      <c r="F6" s="125" t="s">
        <v>101</v>
      </c>
      <c r="G6" s="125" t="s">
        <v>118</v>
      </c>
    </row>
    <row r="7" spans="1:7" ht="30" customHeight="1" x14ac:dyDescent="0.45">
      <c r="A7" s="121"/>
      <c r="B7" s="40" t="s">
        <v>108</v>
      </c>
      <c r="C7" s="40" t="s">
        <v>113</v>
      </c>
      <c r="D7" s="40" t="s">
        <v>32</v>
      </c>
      <c r="E7" s="40" t="s">
        <v>123</v>
      </c>
      <c r="F7" s="125"/>
      <c r="G7" s="125"/>
    </row>
    <row r="8" spans="1:7" ht="30" customHeight="1" x14ac:dyDescent="0.45">
      <c r="A8" s="121">
        <v>3</v>
      </c>
      <c r="B8" s="40" t="s">
        <v>109</v>
      </c>
      <c r="C8" s="40" t="s">
        <v>114</v>
      </c>
      <c r="D8" s="40" t="s">
        <v>56</v>
      </c>
      <c r="E8" s="40" t="s">
        <v>128</v>
      </c>
      <c r="F8" s="125" t="s">
        <v>102</v>
      </c>
      <c r="G8" s="125" t="s">
        <v>119</v>
      </c>
    </row>
    <row r="9" spans="1:7" ht="30" customHeight="1" x14ac:dyDescent="0.45">
      <c r="A9" s="121"/>
      <c r="B9" s="40" t="s">
        <v>109</v>
      </c>
      <c r="C9" s="40" t="s">
        <v>114</v>
      </c>
      <c r="D9" s="40" t="s">
        <v>100</v>
      </c>
      <c r="E9" s="40" t="s">
        <v>124</v>
      </c>
      <c r="F9" s="125"/>
      <c r="G9" s="125"/>
    </row>
    <row r="10" spans="1:7" ht="30" customHeight="1" x14ac:dyDescent="0.45">
      <c r="A10" s="47">
        <v>4</v>
      </c>
      <c r="B10" s="40" t="s">
        <v>110</v>
      </c>
      <c r="C10" s="40" t="s">
        <v>115</v>
      </c>
      <c r="D10" s="40" t="s">
        <v>28</v>
      </c>
      <c r="E10" s="40" t="s">
        <v>127</v>
      </c>
      <c r="F10" s="40" t="s">
        <v>103</v>
      </c>
      <c r="G10" s="40" t="s">
        <v>118</v>
      </c>
    </row>
    <row r="11" spans="1:7" ht="30" customHeight="1" x14ac:dyDescent="0.45">
      <c r="A11" s="121">
        <v>5</v>
      </c>
      <c r="B11" s="40" t="s">
        <v>121</v>
      </c>
      <c r="C11" s="40" t="s">
        <v>120</v>
      </c>
      <c r="D11" s="40" t="s">
        <v>56</v>
      </c>
      <c r="E11" s="40" t="s">
        <v>126</v>
      </c>
      <c r="F11" s="40" t="s">
        <v>104</v>
      </c>
      <c r="G11" s="122" t="s">
        <v>122</v>
      </c>
    </row>
    <row r="12" spans="1:7" ht="30" customHeight="1" x14ac:dyDescent="0.45">
      <c r="A12" s="121"/>
      <c r="B12" s="40" t="s">
        <v>121</v>
      </c>
      <c r="C12" s="40" t="s">
        <v>120</v>
      </c>
      <c r="D12" s="40" t="s">
        <v>100</v>
      </c>
      <c r="E12" s="40" t="s">
        <v>123</v>
      </c>
      <c r="F12" s="40" t="s">
        <v>104</v>
      </c>
      <c r="G12" s="123"/>
    </row>
    <row r="13" spans="1:7" ht="30" customHeight="1" x14ac:dyDescent="0.45">
      <c r="A13" s="47">
        <v>6</v>
      </c>
      <c r="B13" s="40" t="s">
        <v>111</v>
      </c>
      <c r="C13" s="40" t="s">
        <v>116</v>
      </c>
      <c r="D13" s="40" t="s">
        <v>56</v>
      </c>
      <c r="E13" s="40" t="s">
        <v>125</v>
      </c>
      <c r="F13" s="40" t="s">
        <v>105</v>
      </c>
      <c r="G13" s="40" t="s">
        <v>118</v>
      </c>
    </row>
  </sheetData>
  <mergeCells count="12">
    <mergeCell ref="A11:A12"/>
    <mergeCell ref="G11:G12"/>
    <mergeCell ref="A1:G2"/>
    <mergeCell ref="F4:F5"/>
    <mergeCell ref="A4:A5"/>
    <mergeCell ref="F6:F7"/>
    <mergeCell ref="A6:A7"/>
    <mergeCell ref="F8:F9"/>
    <mergeCell ref="A8:A9"/>
    <mergeCell ref="G4:G5"/>
    <mergeCell ref="G6:G7"/>
    <mergeCell ref="G8:G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براورد عمومی</vt:lpstr>
      <vt:lpstr>براورد خاص کاغذ</vt:lpstr>
      <vt:lpstr>د کاغذ په اړه معلومات </vt:lpstr>
      <vt:lpstr>د کاغذ مصرف یاداشت </vt:lpstr>
      <vt:lpstr>خرڅ شوی کاغذ</vt:lpstr>
      <vt:lpstr>د نوی ارډر لپاره 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cp:lastPrinted>2026-09-03T09:36:29Z</cp:lastPrinted>
  <dcterms:created xsi:type="dcterms:W3CDTF">2026-03-24T02:25:59Z</dcterms:created>
  <dcterms:modified xsi:type="dcterms:W3CDTF">2026-09-19T13:56:22Z</dcterms:modified>
</cp:coreProperties>
</file>